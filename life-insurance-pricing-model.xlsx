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thanhtruc/Downloads/"/>
    </mc:Choice>
  </mc:AlternateContent>
  <xr:revisionPtr revIDLastSave="0" documentId="8_{5C5B8D8A-A402-704D-85A0-C6F6E3E69405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Inputs" sheetId="1" r:id="rId1"/>
    <sheet name="LifeTables" sheetId="2" r:id="rId2"/>
    <sheet name="Q1" sheetId="3" r:id="rId3"/>
    <sheet name="Q2" sheetId="4" r:id="rId4"/>
    <sheet name="Q3" sheetId="5" r:id="rId5"/>
    <sheet name="Q4" sheetId="6" r:id="rId6"/>
  </sheets>
  <definedNames>
    <definedName name="solver_eng" localSheetId="5" hidden="1">1</definedName>
    <definedName name="solver_lin" localSheetId="5" hidden="1">2</definedName>
    <definedName name="solver_neg" localSheetId="5" hidden="1">1</definedName>
    <definedName name="solver_num" localSheetId="5" hidden="1">0</definedName>
    <definedName name="solver_opt" localSheetId="5" hidden="1">'Q4'!$G$3</definedName>
    <definedName name="solver_typ" localSheetId="5" hidden="1">1</definedName>
    <definedName name="solver_val" localSheetId="5" hidden="1">0</definedName>
    <definedName name="solver_ver" localSheetId="5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N2" i="4" a="1"/>
  <c r="N2" i="4" s="1"/>
  <c r="G22" i="4"/>
  <c r="D22" i="5" s="1"/>
  <c r="E2" i="3"/>
  <c r="C2" i="3"/>
  <c r="J2" i="4"/>
  <c r="L2" i="4" a="1"/>
  <c r="L2" i="4" s="1"/>
  <c r="N2" i="3" a="1"/>
  <c r="N2" i="3" s="1"/>
  <c r="K2" i="3"/>
  <c r="L2" i="3"/>
  <c r="M2" i="3"/>
  <c r="H2" i="3"/>
  <c r="T5" i="4"/>
  <c r="T4" i="4"/>
  <c r="T3" i="4"/>
  <c r="T2" i="4"/>
  <c r="G2" i="4"/>
  <c r="F2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" i="4"/>
  <c r="D2" i="4"/>
  <c r="D3" i="4"/>
  <c r="D4" i="4"/>
  <c r="D5" i="4"/>
  <c r="G5" i="5" s="1"/>
  <c r="D6" i="4"/>
  <c r="D7" i="4"/>
  <c r="D8" i="4"/>
  <c r="D9" i="4"/>
  <c r="D10" i="4"/>
  <c r="G10" i="5" s="1"/>
  <c r="D11" i="4"/>
  <c r="D12" i="4"/>
  <c r="D13" i="4"/>
  <c r="G13" i="5" s="1"/>
  <c r="D14" i="4"/>
  <c r="D15" i="4"/>
  <c r="D16" i="4"/>
  <c r="G16" i="5" s="1"/>
  <c r="D17" i="4"/>
  <c r="D18" i="4"/>
  <c r="D19" i="4"/>
  <c r="D20" i="4"/>
  <c r="D21" i="4"/>
  <c r="G21" i="5" s="1"/>
  <c r="D22" i="4"/>
  <c r="G22" i="5" s="1"/>
  <c r="C2" i="4"/>
  <c r="C3" i="4"/>
  <c r="B3" i="5" s="1"/>
  <c r="C4" i="4"/>
  <c r="C5" i="4"/>
  <c r="C6" i="4"/>
  <c r="C7" i="4"/>
  <c r="B7" i="5" s="1"/>
  <c r="C8" i="4"/>
  <c r="C9" i="4"/>
  <c r="C10" i="4"/>
  <c r="C11" i="4"/>
  <c r="B11" i="5" s="1"/>
  <c r="C12" i="4"/>
  <c r="C13" i="4"/>
  <c r="C14" i="4"/>
  <c r="B14" i="5" s="1"/>
  <c r="C15" i="4"/>
  <c r="B15" i="5" s="1"/>
  <c r="C16" i="4"/>
  <c r="C17" i="4"/>
  <c r="C18" i="4"/>
  <c r="C19" i="4"/>
  <c r="B19" i="5" s="1"/>
  <c r="C20" i="4"/>
  <c r="C21" i="4"/>
  <c r="C22" i="4"/>
  <c r="B2" i="4"/>
  <c r="C2" i="5" s="1"/>
  <c r="B3" i="4"/>
  <c r="B4" i="4"/>
  <c r="B5" i="4"/>
  <c r="B6" i="4"/>
  <c r="C6" i="5" s="1"/>
  <c r="B7" i="4"/>
  <c r="B8" i="4"/>
  <c r="B9" i="4"/>
  <c r="C9" i="5" s="1"/>
  <c r="B10" i="4"/>
  <c r="B11" i="4"/>
  <c r="B12" i="4"/>
  <c r="B13" i="4"/>
  <c r="B14" i="4"/>
  <c r="C14" i="5" s="1"/>
  <c r="B15" i="4"/>
  <c r="B16" i="4"/>
  <c r="B17" i="4"/>
  <c r="C17" i="5" s="1"/>
  <c r="B18" i="4"/>
  <c r="C18" i="5" s="1"/>
  <c r="B19" i="4"/>
  <c r="B20" i="4"/>
  <c r="B21" i="4"/>
  <c r="C21" i="5" s="1"/>
  <c r="B22" i="4"/>
  <c r="C22" i="5" s="1"/>
  <c r="C8" i="5"/>
  <c r="C10" i="5"/>
  <c r="C15" i="5"/>
  <c r="C16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D4" i="3"/>
  <c r="D3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2" i="3"/>
  <c r="F4" i="6"/>
  <c r="F5" i="6" s="1"/>
  <c r="F6" i="6" s="1"/>
  <c r="F7" i="6" s="1"/>
  <c r="F8" i="6" s="1"/>
  <c r="F9" i="6" s="1"/>
  <c r="F10" i="6" s="1"/>
  <c r="F11" i="6" s="1"/>
  <c r="F12" i="6" s="1"/>
  <c r="F13" i="6" s="1"/>
  <c r="V21" i="4"/>
  <c r="V22" i="4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" i="5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" i="4"/>
  <c r="B6" i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B7" i="1"/>
  <c r="H10" i="4" s="1"/>
  <c r="B4" i="5"/>
  <c r="B5" i="5"/>
  <c r="B6" i="5"/>
  <c r="B8" i="5"/>
  <c r="B9" i="5"/>
  <c r="B10" i="5"/>
  <c r="B12" i="5"/>
  <c r="B13" i="5"/>
  <c r="B16" i="5"/>
  <c r="B17" i="5"/>
  <c r="B18" i="5"/>
  <c r="B20" i="5"/>
  <c r="B21" i="5"/>
  <c r="B22" i="5"/>
  <c r="B2" i="5"/>
  <c r="C3" i="5"/>
  <c r="C4" i="5"/>
  <c r="C5" i="5"/>
  <c r="C7" i="5"/>
  <c r="C11" i="5"/>
  <c r="C12" i="5"/>
  <c r="C13" i="5"/>
  <c r="C19" i="5"/>
  <c r="C20" i="5"/>
  <c r="G3" i="5"/>
  <c r="G4" i="5"/>
  <c r="G6" i="5"/>
  <c r="G7" i="5"/>
  <c r="G8" i="5"/>
  <c r="G9" i="5"/>
  <c r="G11" i="5"/>
  <c r="G12" i="5"/>
  <c r="G14" i="5"/>
  <c r="G15" i="5"/>
  <c r="G17" i="5"/>
  <c r="G18" i="5"/>
  <c r="G19" i="5"/>
  <c r="G20" i="5"/>
  <c r="G2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P2" i="4" l="1"/>
  <c r="F2" i="6" s="1"/>
  <c r="O2" i="4"/>
  <c r="F21" i="5" s="1"/>
  <c r="H17" i="4"/>
  <c r="J17" i="4" s="1"/>
  <c r="H9" i="4"/>
  <c r="J9" i="4" s="1"/>
  <c r="H16" i="4"/>
  <c r="H8" i="4"/>
  <c r="J10" i="4"/>
  <c r="H2" i="4"/>
  <c r="H15" i="4"/>
  <c r="J15" i="4" s="1"/>
  <c r="H7" i="4"/>
  <c r="J7" i="4" s="1"/>
  <c r="H22" i="4"/>
  <c r="H14" i="4"/>
  <c r="J14" i="4" s="1"/>
  <c r="H6" i="4"/>
  <c r="J6" i="4" s="1"/>
  <c r="J16" i="4"/>
  <c r="J8" i="4"/>
  <c r="H21" i="4"/>
  <c r="J21" i="4" s="1"/>
  <c r="H13" i="4"/>
  <c r="H5" i="4"/>
  <c r="J5" i="4" s="1"/>
  <c r="H20" i="4"/>
  <c r="J20" i="4" s="1"/>
  <c r="H12" i="4"/>
  <c r="J12" i="4" s="1"/>
  <c r="H4" i="4"/>
  <c r="J4" i="4" s="1"/>
  <c r="H19" i="4"/>
  <c r="J19" i="4" s="1"/>
  <c r="H11" i="4"/>
  <c r="H3" i="4"/>
  <c r="J3" i="4" s="1"/>
  <c r="J13" i="4"/>
  <c r="H18" i="4"/>
  <c r="J18" i="4" s="1"/>
  <c r="J11" i="4" l="1"/>
  <c r="F20" i="5" l="1"/>
  <c r="F19" i="5" l="1"/>
  <c r="C19" i="6" s="1"/>
  <c r="C20" i="6"/>
  <c r="C21" i="6"/>
  <c r="F18" i="5" l="1"/>
  <c r="H18" i="5" s="1"/>
  <c r="H19" i="5"/>
  <c r="H22" i="5"/>
  <c r="H21" i="5"/>
  <c r="H20" i="5"/>
  <c r="F17" i="5" l="1"/>
  <c r="C18" i="6"/>
  <c r="F16" i="5" l="1"/>
  <c r="C17" i="6"/>
  <c r="H17" i="5"/>
  <c r="F15" i="5" l="1"/>
  <c r="C16" i="6"/>
  <c r="H16" i="5"/>
  <c r="F14" i="5" l="1"/>
  <c r="C15" i="6"/>
  <c r="H15" i="5"/>
  <c r="F13" i="5" l="1"/>
  <c r="C14" i="6"/>
  <c r="H14" i="5"/>
  <c r="F12" i="5" l="1"/>
  <c r="C13" i="6"/>
  <c r="H13" i="5"/>
  <c r="F11" i="5" l="1"/>
  <c r="C12" i="6"/>
  <c r="H12" i="5"/>
  <c r="F10" i="5" l="1"/>
  <c r="C11" i="6"/>
  <c r="H11" i="5"/>
  <c r="F9" i="5" l="1"/>
  <c r="C10" i="6"/>
  <c r="H10" i="5"/>
  <c r="F8" i="5" l="1"/>
  <c r="C9" i="6"/>
  <c r="H9" i="5"/>
  <c r="F7" i="5" l="1"/>
  <c r="C8" i="6"/>
  <c r="H8" i="5"/>
  <c r="F6" i="5" l="1"/>
  <c r="C7" i="6"/>
  <c r="H7" i="5"/>
  <c r="F5" i="5" l="1"/>
  <c r="C6" i="6"/>
  <c r="H6" i="5"/>
  <c r="F4" i="5" l="1"/>
  <c r="F3" i="5" s="1"/>
  <c r="F2" i="5" s="1"/>
  <c r="C5" i="6"/>
  <c r="H5" i="5"/>
  <c r="H2" i="5" l="1"/>
  <c r="C2" i="6"/>
  <c r="C4" i="6"/>
  <c r="H4" i="5"/>
  <c r="C3" i="6" l="1"/>
  <c r="H3" i="5"/>
  <c r="B3" i="6" l="1"/>
  <c r="D3" i="6" s="1"/>
  <c r="E3" i="6" s="1"/>
  <c r="B4" i="6"/>
  <c r="D4" i="6" s="1"/>
  <c r="E4" i="6" s="1"/>
  <c r="B5" i="6"/>
  <c r="D5" i="6" s="1"/>
  <c r="E5" i="6" s="1"/>
  <c r="B6" i="6"/>
  <c r="D6" i="6" s="1"/>
  <c r="E6" i="6" s="1"/>
  <c r="B7" i="6"/>
  <c r="D7" i="6" s="1"/>
  <c r="E7" i="6" s="1"/>
  <c r="B8" i="6"/>
  <c r="D8" i="6" s="1"/>
  <c r="E8" i="6" s="1"/>
  <c r="B9" i="6"/>
  <c r="D9" i="6" s="1"/>
  <c r="E9" i="6" s="1"/>
  <c r="B10" i="6"/>
  <c r="D10" i="6" s="1"/>
  <c r="E10" i="6" s="1"/>
  <c r="B11" i="6"/>
  <c r="D11" i="6" s="1"/>
  <c r="E11" i="6" s="1"/>
  <c r="B12" i="6"/>
  <c r="D12" i="6" s="1"/>
  <c r="E12" i="6" s="1"/>
  <c r="B13" i="6"/>
  <c r="D13" i="6" s="1"/>
  <c r="E13" i="6" s="1"/>
  <c r="B14" i="6"/>
  <c r="D14" i="6" s="1"/>
  <c r="E14" i="6" s="1"/>
  <c r="B15" i="6"/>
  <c r="D15" i="6" s="1"/>
  <c r="E15" i="6" s="1"/>
  <c r="B16" i="6"/>
  <c r="D16" i="6" s="1"/>
  <c r="E16" i="6" s="1"/>
  <c r="B17" i="6"/>
  <c r="D17" i="6" s="1"/>
  <c r="E17" i="6" s="1"/>
  <c r="B18" i="6"/>
  <c r="D18" i="6" s="1"/>
  <c r="E18" i="6" s="1"/>
  <c r="B19" i="6"/>
  <c r="D19" i="6" s="1"/>
  <c r="E19" i="6" s="1"/>
  <c r="B20" i="6"/>
  <c r="D20" i="6" s="1"/>
  <c r="E20" i="6" s="1"/>
  <c r="B2" i="6"/>
  <c r="D2" i="6" s="1"/>
  <c r="E2" i="6" s="1"/>
  <c r="B21" i="6"/>
  <c r="D21" i="6" s="1"/>
  <c r="E21" i="6" s="1"/>
  <c r="H2" i="6"/>
  <c r="G2" i="6" l="1"/>
  <c r="I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Lê Thanh Trúc</author>
  </authors>
  <commentList>
    <comment ref="L1" authorId="0" shapeId="0" xr:uid="{CD0E9672-B6DA-9747-B271-0ABC435A0A95}">
      <text>
        <r>
          <rPr>
            <b/>
            <sz val="10"/>
            <color rgb="FF000000"/>
            <rFont val="Tahoma"/>
            <family val="2"/>
          </rPr>
          <t>Lê Thanh Trúc: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annuity-due term factor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<sst xmlns="http://schemas.openxmlformats.org/spreadsheetml/2006/main" count="68" uniqueCount="56">
  <si>
    <t>Name</t>
  </si>
  <si>
    <t>Value</t>
  </si>
  <si>
    <t>x</t>
  </si>
  <si>
    <t>n</t>
  </si>
  <si>
    <t>S</t>
  </si>
  <si>
    <t>c</t>
  </si>
  <si>
    <t>i</t>
  </si>
  <si>
    <t>v</t>
  </si>
  <si>
    <t>E0</t>
  </si>
  <si>
    <t>e</t>
  </si>
  <si>
    <t>pi</t>
  </si>
  <si>
    <t>lx</t>
  </si>
  <si>
    <t>Male Age</t>
  </si>
  <si>
    <t>Female Age</t>
  </si>
  <si>
    <t>age</t>
  </si>
  <si>
    <t>lx_m</t>
  </si>
  <si>
    <t>qx_m</t>
  </si>
  <si>
    <t>kp0_m</t>
  </si>
  <si>
    <t>k|q0_m</t>
  </si>
  <si>
    <t>lx_f</t>
  </si>
  <si>
    <t>qx_f</t>
  </si>
  <si>
    <t>kp0_f</t>
  </si>
  <si>
    <t>k|q0_f</t>
  </si>
  <si>
    <t>E[K_0]_m</t>
  </si>
  <si>
    <t>E[K_0]_f</t>
  </si>
  <si>
    <t>E[K_60]_m</t>
  </si>
  <si>
    <t>E[K_60]_f</t>
  </si>
  <si>
    <t>k</t>
  </si>
  <si>
    <t>q_{x+k}</t>
  </si>
  <si>
    <t>p_{x+k}</t>
  </si>
  <si>
    <t>{}_k p_x</t>
  </si>
  <si>
    <t>Benefit S(1+c)^k</t>
  </si>
  <si>
    <t>v^{k+1}</t>
  </si>
  <si>
    <t>EPV contrib</t>
  </si>
  <si>
    <t>A = sum v^k {}_k p_x</t>
  </si>
  <si>
    <t>EPV_B</t>
  </si>
  <si>
    <t>EPV_E</t>
  </si>
  <si>
    <t>g0</t>
  </si>
  <si>
    <t>g_pi</t>
  </si>
  <si>
    <t>Param</t>
  </si>
  <si>
    <t>S(1+c)^k</t>
  </si>
  <si>
    <t>V^{pro}_{k}</t>
  </si>
  <si>
    <t>E[F_x(k)]</t>
  </si>
  <si>
    <t>CF_k</t>
  </si>
  <si>
    <t>TR_k</t>
  </si>
  <si>
    <t>PRO_k</t>
  </si>
  <si>
    <t>PS_k</t>
  </si>
  <si>
    <t>P0</t>
  </si>
  <si>
    <t>I0</t>
  </si>
  <si>
    <t>f = P0/I0</t>
  </si>
  <si>
    <t>{}_k I q_x</t>
  </si>
  <si>
    <t>v^{k+1}; i = 0.03</t>
  </si>
  <si>
    <t>v^{k+1}; i = 0.05</t>
  </si>
  <si>
    <t>Benefit; c=0.015</t>
  </si>
  <si>
    <t>Benefit; c=0.035</t>
  </si>
  <si>
    <t>gactual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</si>
</sst>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/>
    </xf>
    <xf numFmtId="166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4" fontId="3" fillId="0" borderId="0" xfId="0" applyNumberFormat="1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Mortality rate qₓ by age (Male vs Female)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'Q1'!$C$1</c:f>
              <c:strCache>
                <c:ptCount val="1"/>
                <c:pt idx="0">
                  <c:v>qx_m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'Q1'!$C$2:$C$102</c:f>
              <c:numCache>
                <c:formatCode>0.000000</c:formatCode>
                <c:ptCount val="101"/>
                <c:pt idx="0">
                  <c:v>3.3899999999999998E-3</c:v>
                </c:pt>
                <c:pt idx="1">
                  <c:v>2.0068030623814732E-4</c:v>
                </c:pt>
                <c:pt idx="2">
                  <c:v>1.7061249887094669E-4</c:v>
                </c:pt>
                <c:pt idx="3">
                  <c:v>1.3049064482454026E-4</c:v>
                </c:pt>
                <c:pt idx="4">
                  <c:v>9.0351467207436926E-5</c:v>
                </c:pt>
                <c:pt idx="5">
                  <c:v>8.031967229573704E-5</c:v>
                </c:pt>
                <c:pt idx="6">
                  <c:v>7.0285358555736285E-5</c:v>
                </c:pt>
                <c:pt idx="7">
                  <c:v>7.0290298934599899E-5</c:v>
                </c:pt>
                <c:pt idx="8">
                  <c:v>8.0337417152038566E-5</c:v>
                </c:pt>
                <c:pt idx="9">
                  <c:v>7.0300887799783072E-5</c:v>
                </c:pt>
                <c:pt idx="10">
                  <c:v>7.0305830362075024E-5</c:v>
                </c:pt>
                <c:pt idx="11">
                  <c:v>9.0399566082082806E-5</c:v>
                </c:pt>
                <c:pt idx="12">
                  <c:v>9.0407738902450053E-5</c:v>
                </c:pt>
                <c:pt idx="13">
                  <c:v>1.2055455093429777E-4</c:v>
                </c:pt>
                <c:pt idx="14">
                  <c:v>1.6075878144843661E-4</c:v>
                </c:pt>
                <c:pt idx="15">
                  <c:v>2.2107886486051934E-4</c:v>
                </c:pt>
                <c:pt idx="16">
                  <c:v>3.2164036586591617E-4</c:v>
                </c:pt>
                <c:pt idx="17">
                  <c:v>4.4239779605461602E-4</c:v>
                </c:pt>
                <c:pt idx="18">
                  <c:v>5.0294727100810746E-4</c:v>
                </c:pt>
                <c:pt idx="19">
                  <c:v>5.4345638259329331E-4</c:v>
                </c:pt>
                <c:pt idx="20">
                  <c:v>5.6389084684321821E-4</c:v>
                </c:pt>
                <c:pt idx="21">
                  <c:v>5.7428415983234928E-4</c:v>
                </c:pt>
                <c:pt idx="22">
                  <c:v>5.9477605169511172E-4</c:v>
                </c:pt>
                <c:pt idx="23">
                  <c:v>6.0521697028384676E-4</c:v>
                </c:pt>
                <c:pt idx="24">
                  <c:v>6.257695956720967E-4</c:v>
                </c:pt>
                <c:pt idx="25">
                  <c:v>6.4636018421265252E-4</c:v>
                </c:pt>
                <c:pt idx="26">
                  <c:v>6.7709596572075354E-4</c:v>
                </c:pt>
                <c:pt idx="27">
                  <c:v>6.876674925418415E-4</c:v>
                </c:pt>
                <c:pt idx="28">
                  <c:v>7.0838013702095794E-4</c:v>
                </c:pt>
                <c:pt idx="29">
                  <c:v>7.2913607502000065E-4</c:v>
                </c:pt>
                <c:pt idx="30">
                  <c:v>7.6007093995439574E-4</c:v>
                </c:pt>
                <c:pt idx="31">
                  <c:v>7.8093306288032458E-4</c:v>
                </c:pt>
                <c:pt idx="32">
                  <c:v>8.1199313865797833E-4</c:v>
                </c:pt>
                <c:pt idx="33">
                  <c:v>8.431274950986866E-4</c:v>
                </c:pt>
                <c:pt idx="34">
                  <c:v>8.8450589670597808E-4</c:v>
                </c:pt>
                <c:pt idx="35">
                  <c:v>9.2599187976351587E-4</c:v>
                </c:pt>
                <c:pt idx="36">
                  <c:v>9.7777596708154241E-4</c:v>
                </c:pt>
                <c:pt idx="37">
                  <c:v>1.0297086230450828E-3</c:v>
                </c:pt>
                <c:pt idx="38">
                  <c:v>1.1022095218655916E-3</c:v>
                </c:pt>
                <c:pt idx="39">
                  <c:v>1.1749440624457227E-3</c:v>
                </c:pt>
                <c:pt idx="40">
                  <c:v>1.2479286430310346E-3</c:v>
                </c:pt>
                <c:pt idx="41">
                  <c:v>1.3519049569848422E-3</c:v>
                </c:pt>
                <c:pt idx="42">
                  <c:v>1.4460351971120318E-3</c:v>
                </c:pt>
                <c:pt idx="43">
                  <c:v>1.5713742849219961E-3</c:v>
                </c:pt>
                <c:pt idx="44">
                  <c:v>1.6972863990783221E-3</c:v>
                </c:pt>
                <c:pt idx="45">
                  <c:v>1.8341250296242105E-3</c:v>
                </c:pt>
                <c:pt idx="46">
                  <c:v>1.9820173220055537E-3</c:v>
                </c:pt>
                <c:pt idx="47">
                  <c:v>2.1617931505290705E-3</c:v>
                </c:pt>
                <c:pt idx="48">
                  <c:v>2.3323312947030163E-3</c:v>
                </c:pt>
                <c:pt idx="49">
                  <c:v>2.5455867837290247E-3</c:v>
                </c:pt>
                <c:pt idx="50">
                  <c:v>2.7499999999999998E-3</c:v>
                </c:pt>
                <c:pt idx="51">
                  <c:v>2.9978273585693992E-3</c:v>
                </c:pt>
                <c:pt idx="52">
                  <c:v>3.2373309306540665E-3</c:v>
                </c:pt>
                <c:pt idx="53">
                  <c:v>3.5211267605633804E-3</c:v>
                </c:pt>
                <c:pt idx="54">
                  <c:v>3.8289119772163915E-3</c:v>
                </c:pt>
                <c:pt idx="55">
                  <c:v>4.1401071557146188E-3</c:v>
                </c:pt>
                <c:pt idx="56">
                  <c:v>4.5081923637175572E-3</c:v>
                </c:pt>
                <c:pt idx="57">
                  <c:v>4.8917513110534354E-3</c:v>
                </c:pt>
                <c:pt idx="58">
                  <c:v>5.3021927894471334E-3</c:v>
                </c:pt>
                <c:pt idx="59">
                  <c:v>5.7728621526841111E-3</c:v>
                </c:pt>
                <c:pt idx="60">
                  <c:v>6.2622096809203387E-3</c:v>
                </c:pt>
                <c:pt idx="61">
                  <c:v>6.7931369658049646E-3</c:v>
                </c:pt>
                <c:pt idx="62">
                  <c:v>7.3784101780275122E-3</c:v>
                </c:pt>
                <c:pt idx="63">
                  <c:v>7.9982275396034124E-3</c:v>
                </c:pt>
                <c:pt idx="64">
                  <c:v>8.6657435118595617E-3</c:v>
                </c:pt>
                <c:pt idx="65">
                  <c:v>9.4061190465462088E-3</c:v>
                </c:pt>
                <c:pt idx="66">
                  <c:v>1.0211856215245004E-2</c:v>
                </c:pt>
                <c:pt idx="67">
                  <c:v>1.1132940406024885E-2</c:v>
                </c:pt>
                <c:pt idx="68">
                  <c:v>1.2164517253398397E-2</c:v>
                </c:pt>
                <c:pt idx="69">
                  <c:v>1.332580595838773E-2</c:v>
                </c:pt>
                <c:pt idx="70">
                  <c:v>1.4626296340445821E-2</c:v>
                </c:pt>
                <c:pt idx="71">
                  <c:v>1.6101520631963514E-2</c:v>
                </c:pt>
                <c:pt idx="72">
                  <c:v>1.7766684699749177E-2</c:v>
                </c:pt>
                <c:pt idx="73">
                  <c:v>1.964024184160126E-2</c:v>
                </c:pt>
                <c:pt idx="74">
                  <c:v>2.1821292678566868E-2</c:v>
                </c:pt>
                <c:pt idx="75">
                  <c:v>2.4318291584539676E-2</c:v>
                </c:pt>
                <c:pt idx="76">
                  <c:v>2.7212158510154391E-2</c:v>
                </c:pt>
                <c:pt idx="77">
                  <c:v>3.0517658708328749E-2</c:v>
                </c:pt>
                <c:pt idx="78">
                  <c:v>3.4301278141092024E-2</c:v>
                </c:pt>
                <c:pt idx="79">
                  <c:v>3.8604480352552331E-2</c:v>
                </c:pt>
                <c:pt idx="80">
                  <c:v>4.3485568475254789E-2</c:v>
                </c:pt>
                <c:pt idx="81">
                  <c:v>4.8960879219181803E-2</c:v>
                </c:pt>
                <c:pt idx="82">
                  <c:v>5.5227089492072022E-2</c:v>
                </c:pt>
                <c:pt idx="83">
                  <c:v>6.2331105105959322E-2</c:v>
                </c:pt>
                <c:pt idx="84">
                  <c:v>7.0475143149671987E-2</c:v>
                </c:pt>
                <c:pt idx="85">
                  <c:v>7.9755226925038239E-2</c:v>
                </c:pt>
                <c:pt idx="86">
                  <c:v>9.0258228970408957E-2</c:v>
                </c:pt>
                <c:pt idx="87">
                  <c:v>0.10213678337353507</c:v>
                </c:pt>
                <c:pt idx="88">
                  <c:v>0.11541070798621475</c:v>
                </c:pt>
                <c:pt idx="89">
                  <c:v>0.13022271304988037</c:v>
                </c:pt>
                <c:pt idx="90">
                  <c:v>0.14643953020844355</c:v>
                </c:pt>
                <c:pt idx="91">
                  <c:v>0.16350564026279907</c:v>
                </c:pt>
                <c:pt idx="92">
                  <c:v>0.18069551472041098</c:v>
                </c:pt>
                <c:pt idx="93">
                  <c:v>0.19745568551790668</c:v>
                </c:pt>
                <c:pt idx="94">
                  <c:v>0.21403350612275562</c:v>
                </c:pt>
                <c:pt idx="95">
                  <c:v>0.23035748422863697</c:v>
                </c:pt>
                <c:pt idx="96">
                  <c:v>0.24689518132141083</c:v>
                </c:pt>
                <c:pt idx="97">
                  <c:v>0.26385224274406333</c:v>
                </c:pt>
                <c:pt idx="98">
                  <c:v>0.28158602150537637</c:v>
                </c:pt>
                <c:pt idx="99">
                  <c:v>0.29996881821016524</c:v>
                </c:pt>
                <c:pt idx="100">
                  <c:v>0.31804008908685971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F-914C-BE95-56EB94CE99DB}"/>
            </c:ext>
          </c:extLst>
        </c:ser>
        <c:ser>
          <c:idx val="1"/>
          <c:order val="1"/>
          <c:tx>
            <c:strRef>
              <c:f>'Q1'!$G$1</c:f>
              <c:strCache>
                <c:ptCount val="1"/>
                <c:pt idx="0">
                  <c:v>qx_f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'Q1'!$G$2:$G$102</c:f>
              <c:numCache>
                <c:formatCode>0.000000</c:formatCode>
                <c:ptCount val="101"/>
                <c:pt idx="0">
                  <c:v>2.9499999999999999E-3</c:v>
                </c:pt>
                <c:pt idx="1">
                  <c:v>2.0059174564966651E-4</c:v>
                </c:pt>
                <c:pt idx="2">
                  <c:v>1.1034759492401063E-4</c:v>
                </c:pt>
                <c:pt idx="3">
                  <c:v>9.029435961233622E-5</c:v>
                </c:pt>
                <c:pt idx="4">
                  <c:v>9.0302513419956862E-5</c:v>
                </c:pt>
                <c:pt idx="5">
                  <c:v>8.0276149955848115E-5</c:v>
                </c:pt>
                <c:pt idx="6">
                  <c:v>7.0247270391779056E-5</c:v>
                </c:pt>
                <c:pt idx="7">
                  <c:v>6.0216176072098837E-5</c:v>
                </c:pt>
                <c:pt idx="8">
                  <c:v>6.0219802278315851E-5</c:v>
                </c:pt>
                <c:pt idx="9">
                  <c:v>6.0223428921298018E-5</c:v>
                </c:pt>
                <c:pt idx="10">
                  <c:v>5.0189213334270202E-5</c:v>
                </c:pt>
                <c:pt idx="11">
                  <c:v>7.0268425384970587E-5</c:v>
                </c:pt>
                <c:pt idx="12">
                  <c:v>7.0273363383562061E-5</c:v>
                </c:pt>
                <c:pt idx="13">
                  <c:v>8.0318059515682095E-5</c:v>
                </c:pt>
                <c:pt idx="14">
                  <c:v>1.1044620265874132E-4</c:v>
                </c:pt>
                <c:pt idx="15">
                  <c:v>1.4058342119797158E-4</c:v>
                </c:pt>
                <c:pt idx="16">
                  <c:v>1.7073244217693907E-4</c:v>
                </c:pt>
                <c:pt idx="17">
                  <c:v>2.1094079594993672E-4</c:v>
                </c:pt>
                <c:pt idx="18">
                  <c:v>2.2103222046959299E-4</c:v>
                </c:pt>
                <c:pt idx="19">
                  <c:v>2.4117936710514416E-4</c:v>
                </c:pt>
                <c:pt idx="20">
                  <c:v>2.3118598409842492E-4</c:v>
                </c:pt>
                <c:pt idx="21">
                  <c:v>2.4129333226091852E-4</c:v>
                </c:pt>
                <c:pt idx="22">
                  <c:v>2.5140788415124699E-4</c:v>
                </c:pt>
                <c:pt idx="23">
                  <c:v>2.414122617311271E-4</c:v>
                </c:pt>
                <c:pt idx="24">
                  <c:v>2.4147055568411627E-4</c:v>
                </c:pt>
                <c:pt idx="25">
                  <c:v>2.5159258103797037E-4</c:v>
                </c:pt>
                <c:pt idx="26">
                  <c:v>2.5165589579432667E-4</c:v>
                </c:pt>
                <c:pt idx="27">
                  <c:v>2.7185678181982942E-4</c:v>
                </c:pt>
                <c:pt idx="28">
                  <c:v>2.7193070802699162E-4</c:v>
                </c:pt>
                <c:pt idx="29">
                  <c:v>3.0222741605633518E-4</c:v>
                </c:pt>
                <c:pt idx="30">
                  <c:v>3.1239607791762818E-4</c:v>
                </c:pt>
                <c:pt idx="31">
                  <c:v>3.3265458357694403E-4</c:v>
                </c:pt>
                <c:pt idx="32">
                  <c:v>3.6301666851536266E-4</c:v>
                </c:pt>
                <c:pt idx="33">
                  <c:v>3.9341087226251603E-4</c:v>
                </c:pt>
                <c:pt idx="34">
                  <c:v>4.2383999031222878E-4</c:v>
                </c:pt>
                <c:pt idx="35">
                  <c:v>4.6440253604167507E-4</c:v>
                </c:pt>
                <c:pt idx="36">
                  <c:v>5.050198977839727E-4</c:v>
                </c:pt>
                <c:pt idx="37">
                  <c:v>5.45697077488985E-4</c:v>
                </c:pt>
                <c:pt idx="38">
                  <c:v>5.9655012032112595E-4</c:v>
                </c:pt>
                <c:pt idx="39">
                  <c:v>6.576085307002013E-4</c:v>
                </c:pt>
                <c:pt idx="40">
                  <c:v>7.1878353479519735E-4</c:v>
                </c:pt>
                <c:pt idx="41">
                  <c:v>7.80086518686618E-4</c:v>
                </c:pt>
                <c:pt idx="42">
                  <c:v>8.5166784953867993E-4</c:v>
                </c:pt>
                <c:pt idx="43">
                  <c:v>9.3357416840866196E-4</c:v>
                </c:pt>
                <c:pt idx="44">
                  <c:v>1.0258597923903548E-3</c:v>
                </c:pt>
                <c:pt idx="45">
                  <c:v>1.1082529256860492E-3</c:v>
                </c:pt>
                <c:pt idx="46">
                  <c:v>1.2112698994340622E-3</c:v>
                </c:pt>
                <c:pt idx="47">
                  <c:v>1.3146496815286625E-3</c:v>
                </c:pt>
                <c:pt idx="48">
                  <c:v>1.4286297399893873E-3</c:v>
                </c:pt>
                <c:pt idx="49">
                  <c:v>1.5635219097449313E-3</c:v>
                </c:pt>
                <c:pt idx="50">
                  <c:v>1.6785564414603441E-3</c:v>
                </c:pt>
                <c:pt idx="51">
                  <c:v>1.824911061216539E-3</c:v>
                </c:pt>
                <c:pt idx="52">
                  <c:v>1.972042193486098E-3</c:v>
                </c:pt>
                <c:pt idx="53">
                  <c:v>2.1303090491823526E-3</c:v>
                </c:pt>
                <c:pt idx="54">
                  <c:v>2.2998700521853922E-3</c:v>
                </c:pt>
                <c:pt idx="55">
                  <c:v>2.4912393140305356E-3</c:v>
                </c:pt>
                <c:pt idx="56">
                  <c:v>2.6839934506414642E-3</c:v>
                </c:pt>
                <c:pt idx="57">
                  <c:v>2.9094234146240091E-3</c:v>
                </c:pt>
                <c:pt idx="58">
                  <c:v>3.1471774403651559E-3</c:v>
                </c:pt>
                <c:pt idx="59">
                  <c:v>3.4080098685929936E-3</c:v>
                </c:pt>
                <c:pt idx="60">
                  <c:v>3.6923980656869224E-3</c:v>
                </c:pt>
                <c:pt idx="61">
                  <c:v>4.0008844060265957E-3</c:v>
                </c:pt>
                <c:pt idx="62">
                  <c:v>4.3340838698083493E-3</c:v>
                </c:pt>
                <c:pt idx="63">
                  <c:v>4.6926923526101772E-3</c:v>
                </c:pt>
                <c:pt idx="64">
                  <c:v>5.0988298292212022E-3</c:v>
                </c:pt>
                <c:pt idx="65">
                  <c:v>5.5216631463830424E-3</c:v>
                </c:pt>
                <c:pt idx="66">
                  <c:v>5.9727882355477928E-3</c:v>
                </c:pt>
                <c:pt idx="67">
                  <c:v>6.5184381778741864E-3</c:v>
                </c:pt>
                <c:pt idx="68">
                  <c:v>7.2162359851090079E-3</c:v>
                </c:pt>
                <c:pt idx="69">
                  <c:v>8.0604367811036096E-3</c:v>
                </c:pt>
                <c:pt idx="70">
                  <c:v>8.9462890083698236E-3</c:v>
                </c:pt>
                <c:pt idx="71">
                  <c:v>9.8995503255106376E-3</c:v>
                </c:pt>
                <c:pt idx="72">
                  <c:v>1.098143775490606E-2</c:v>
                </c:pt>
                <c:pt idx="73">
                  <c:v>1.222284415302544E-2</c:v>
                </c:pt>
                <c:pt idx="74">
                  <c:v>1.3680887233870315E-2</c:v>
                </c:pt>
                <c:pt idx="75">
                  <c:v>1.5418347246974955E-2</c:v>
                </c:pt>
                <c:pt idx="76">
                  <c:v>1.7446083860288425E-2</c:v>
                </c:pt>
                <c:pt idx="77">
                  <c:v>1.9840500315120958E-2</c:v>
                </c:pt>
                <c:pt idx="78">
                  <c:v>2.2628630782357086E-2</c:v>
                </c:pt>
                <c:pt idx="79">
                  <c:v>2.5872648372363711E-2</c:v>
                </c:pt>
                <c:pt idx="80">
                  <c:v>2.9585952517013871E-2</c:v>
                </c:pt>
                <c:pt idx="81">
                  <c:v>3.3860649374983273E-2</c:v>
                </c:pt>
                <c:pt idx="82">
                  <c:v>3.8704493821687815E-2</c:v>
                </c:pt>
                <c:pt idx="83">
                  <c:v>4.4312188373634605E-2</c:v>
                </c:pt>
                <c:pt idx="84">
                  <c:v>5.083007886126148E-2</c:v>
                </c:pt>
                <c:pt idx="85">
                  <c:v>5.8429179640338058E-2</c:v>
                </c:pt>
                <c:pt idx="86">
                  <c:v>6.7268432596591862E-2</c:v>
                </c:pt>
                <c:pt idx="87">
                  <c:v>7.751026536186531E-2</c:v>
                </c:pt>
                <c:pt idx="88">
                  <c:v>8.9179967841876151E-2</c:v>
                </c:pt>
                <c:pt idx="89">
                  <c:v>0.10232508073196986</c:v>
                </c:pt>
                <c:pt idx="90">
                  <c:v>0.11674700817804638</c:v>
                </c:pt>
                <c:pt idx="91">
                  <c:v>0.13236851394281679</c:v>
                </c:pt>
                <c:pt idx="92">
                  <c:v>0.14915190586468047</c:v>
                </c:pt>
                <c:pt idx="93">
                  <c:v>0.16691187288509637</c:v>
                </c:pt>
                <c:pt idx="94">
                  <c:v>0.18551876379690949</c:v>
                </c:pt>
                <c:pt idx="95">
                  <c:v>0.20500867302688638</c:v>
                </c:pt>
                <c:pt idx="96">
                  <c:v>0.2249420428201282</c:v>
                </c:pt>
                <c:pt idx="97">
                  <c:v>0.24509545174628311</c:v>
                </c:pt>
                <c:pt idx="98">
                  <c:v>0.2646544691760867</c:v>
                </c:pt>
                <c:pt idx="99">
                  <c:v>0.28383518225039622</c:v>
                </c:pt>
                <c:pt idx="100">
                  <c:v>0.30205797742863466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F-914C-BE95-56EB94CE9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515455"/>
        <c:axId val="256322495"/>
      </c:lineChart>
      <c:catAx>
        <c:axId val="32051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322495"/>
        <c:crosses val="autoZero"/>
        <c:auto val="1"/>
        <c:lblAlgn val="ctr"/>
        <c:lblOffset val="100"/>
        <c:noMultiLvlLbl val="0"/>
      </c:catAx>
      <c:valAx>
        <c:axId val="2563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qx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Survival from birth {}_k p₀ (Male vs Female)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'Q1'!$D$1</c:f>
              <c:strCache>
                <c:ptCount val="1"/>
                <c:pt idx="0">
                  <c:v>kp0_m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'Q1'!$D$2:$D$102</c:f>
              <c:numCache>
                <c:formatCode>0.000000</c:formatCode>
                <c:ptCount val="101"/>
                <c:pt idx="0">
                  <c:v>1</c:v>
                </c:pt>
                <c:pt idx="1">
                  <c:v>0.99661</c:v>
                </c:pt>
                <c:pt idx="2">
                  <c:v>0.99641000000000002</c:v>
                </c:pt>
                <c:pt idx="3">
                  <c:v>0.99624000000000001</c:v>
                </c:pt>
                <c:pt idx="4">
                  <c:v>0.99611000000000005</c:v>
                </c:pt>
                <c:pt idx="5">
                  <c:v>0.99602000000000002</c:v>
                </c:pt>
                <c:pt idx="6">
                  <c:v>0.99594000000000005</c:v>
                </c:pt>
                <c:pt idx="7">
                  <c:v>0.99587000000000003</c:v>
                </c:pt>
                <c:pt idx="8">
                  <c:v>0.99580000000000002</c:v>
                </c:pt>
                <c:pt idx="9">
                  <c:v>0.99572000000000005</c:v>
                </c:pt>
                <c:pt idx="10">
                  <c:v>0.99565000000000003</c:v>
                </c:pt>
                <c:pt idx="11">
                  <c:v>0.99558000000000002</c:v>
                </c:pt>
                <c:pt idx="12">
                  <c:v>0.99548999999999999</c:v>
                </c:pt>
                <c:pt idx="13">
                  <c:v>0.99539999999999995</c:v>
                </c:pt>
                <c:pt idx="14">
                  <c:v>0.99528000000000005</c:v>
                </c:pt>
                <c:pt idx="15">
                  <c:v>0.99512</c:v>
                </c:pt>
                <c:pt idx="16">
                  <c:v>0.99490000000000001</c:v>
                </c:pt>
                <c:pt idx="17">
                  <c:v>0.99458000000000002</c:v>
                </c:pt>
                <c:pt idx="18">
                  <c:v>0.99414000000000002</c:v>
                </c:pt>
                <c:pt idx="19">
                  <c:v>0.99363999999999997</c:v>
                </c:pt>
                <c:pt idx="20">
                  <c:v>0.99309999999999998</c:v>
                </c:pt>
                <c:pt idx="21">
                  <c:v>0.99253999999999998</c:v>
                </c:pt>
                <c:pt idx="22">
                  <c:v>0.99197000000000002</c:v>
                </c:pt>
                <c:pt idx="23">
                  <c:v>0.99138000000000004</c:v>
                </c:pt>
                <c:pt idx="24">
                  <c:v>0.99077999999999999</c:v>
                </c:pt>
                <c:pt idx="25">
                  <c:v>0.99016000000000004</c:v>
                </c:pt>
                <c:pt idx="26">
                  <c:v>0.98951999999999996</c:v>
                </c:pt>
                <c:pt idx="27">
                  <c:v>0.98885000000000001</c:v>
                </c:pt>
                <c:pt idx="28">
                  <c:v>0.98816999999999999</c:v>
                </c:pt>
                <c:pt idx="29">
                  <c:v>0.98746999999999996</c:v>
                </c:pt>
                <c:pt idx="30">
                  <c:v>0.98675000000000002</c:v>
                </c:pt>
                <c:pt idx="31">
                  <c:v>0.98599999999999999</c:v>
                </c:pt>
                <c:pt idx="32">
                  <c:v>0.98523000000000005</c:v>
                </c:pt>
                <c:pt idx="33">
                  <c:v>0.98443000000000003</c:v>
                </c:pt>
                <c:pt idx="34">
                  <c:v>0.98360000000000003</c:v>
                </c:pt>
                <c:pt idx="35">
                  <c:v>0.98272999999999999</c:v>
                </c:pt>
                <c:pt idx="36">
                  <c:v>0.98182000000000003</c:v>
                </c:pt>
                <c:pt idx="37">
                  <c:v>0.98085999999999995</c:v>
                </c:pt>
                <c:pt idx="38">
                  <c:v>0.97985</c:v>
                </c:pt>
                <c:pt idx="39">
                  <c:v>0.97877000000000003</c:v>
                </c:pt>
                <c:pt idx="40">
                  <c:v>0.97762000000000004</c:v>
                </c:pt>
                <c:pt idx="41">
                  <c:v>0.97640000000000005</c:v>
                </c:pt>
                <c:pt idx="42">
                  <c:v>0.97507999999999995</c:v>
                </c:pt>
                <c:pt idx="43">
                  <c:v>0.97367000000000004</c:v>
                </c:pt>
                <c:pt idx="44">
                  <c:v>0.97214</c:v>
                </c:pt>
                <c:pt idx="45">
                  <c:v>0.97048999999999996</c:v>
                </c:pt>
                <c:pt idx="46">
                  <c:v>0.96870999999999996</c:v>
                </c:pt>
                <c:pt idx="47">
                  <c:v>0.96679000000000004</c:v>
                </c:pt>
                <c:pt idx="48">
                  <c:v>0.9647</c:v>
                </c:pt>
                <c:pt idx="49">
                  <c:v>0.96245000000000003</c:v>
                </c:pt>
                <c:pt idx="50">
                  <c:v>0.96</c:v>
                </c:pt>
                <c:pt idx="51">
                  <c:v>0.95735999999999999</c:v>
                </c:pt>
                <c:pt idx="52">
                  <c:v>0.95448999999999995</c:v>
                </c:pt>
                <c:pt idx="53">
                  <c:v>0.95140000000000002</c:v>
                </c:pt>
                <c:pt idx="54">
                  <c:v>0.94804999999999995</c:v>
                </c:pt>
                <c:pt idx="55">
                  <c:v>0.94442000000000004</c:v>
                </c:pt>
                <c:pt idx="56">
                  <c:v>0.94050999999999996</c:v>
                </c:pt>
                <c:pt idx="57">
                  <c:v>0.93627000000000005</c:v>
                </c:pt>
                <c:pt idx="58">
                  <c:v>0.93169000000000002</c:v>
                </c:pt>
                <c:pt idx="59">
                  <c:v>0.92674999999999996</c:v>
                </c:pt>
                <c:pt idx="60">
                  <c:v>0.9214</c:v>
                </c:pt>
                <c:pt idx="61">
                  <c:v>0.91563000000000005</c:v>
                </c:pt>
                <c:pt idx="62">
                  <c:v>0.90941000000000005</c:v>
                </c:pt>
                <c:pt idx="63">
                  <c:v>0.90269999999999995</c:v>
                </c:pt>
                <c:pt idx="64">
                  <c:v>0.89548000000000005</c:v>
                </c:pt>
                <c:pt idx="65">
                  <c:v>0.88771999999999995</c:v>
                </c:pt>
                <c:pt idx="66">
                  <c:v>0.87936999999999999</c:v>
                </c:pt>
                <c:pt idx="67">
                  <c:v>0.87039</c:v>
                </c:pt>
                <c:pt idx="68">
                  <c:v>0.86070000000000002</c:v>
                </c:pt>
                <c:pt idx="69">
                  <c:v>0.85023000000000004</c:v>
                </c:pt>
                <c:pt idx="70">
                  <c:v>0.83889999999999998</c:v>
                </c:pt>
                <c:pt idx="71">
                  <c:v>0.82662999999999998</c:v>
                </c:pt>
                <c:pt idx="72">
                  <c:v>0.81332000000000004</c:v>
                </c:pt>
                <c:pt idx="73">
                  <c:v>0.79886999999999997</c:v>
                </c:pt>
                <c:pt idx="74">
                  <c:v>0.78317999999999999</c:v>
                </c:pt>
                <c:pt idx="75">
                  <c:v>0.76609000000000005</c:v>
                </c:pt>
                <c:pt idx="76">
                  <c:v>0.74746000000000001</c:v>
                </c:pt>
                <c:pt idx="77">
                  <c:v>0.72711999999999999</c:v>
                </c:pt>
                <c:pt idx="78">
                  <c:v>0.70492999999999995</c:v>
                </c:pt>
                <c:pt idx="79">
                  <c:v>0.68074999999999997</c:v>
                </c:pt>
                <c:pt idx="80">
                  <c:v>0.65447</c:v>
                </c:pt>
                <c:pt idx="81">
                  <c:v>0.62600999999999996</c:v>
                </c:pt>
                <c:pt idx="82">
                  <c:v>0.59536</c:v>
                </c:pt>
                <c:pt idx="83">
                  <c:v>0.56247999999999998</c:v>
                </c:pt>
                <c:pt idx="84">
                  <c:v>0.52742</c:v>
                </c:pt>
                <c:pt idx="85">
                  <c:v>0.49025000000000002</c:v>
                </c:pt>
                <c:pt idx="86">
                  <c:v>0.45115</c:v>
                </c:pt>
                <c:pt idx="87">
                  <c:v>0.41043000000000002</c:v>
                </c:pt>
                <c:pt idx="88">
                  <c:v>0.36851</c:v>
                </c:pt>
                <c:pt idx="89">
                  <c:v>0.32597999999999999</c:v>
                </c:pt>
                <c:pt idx="90">
                  <c:v>0.28353</c:v>
                </c:pt>
                <c:pt idx="91">
                  <c:v>0.24201</c:v>
                </c:pt>
                <c:pt idx="92">
                  <c:v>0.20244000000000001</c:v>
                </c:pt>
                <c:pt idx="93">
                  <c:v>0.16586000000000001</c:v>
                </c:pt>
                <c:pt idx="94">
                  <c:v>0.13311000000000001</c:v>
                </c:pt>
                <c:pt idx="95">
                  <c:v>0.10462</c:v>
                </c:pt>
                <c:pt idx="96">
                  <c:v>8.0519999999999994E-2</c:v>
                </c:pt>
                <c:pt idx="97">
                  <c:v>6.0639999999999999E-2</c:v>
                </c:pt>
                <c:pt idx="98">
                  <c:v>4.4639999999999999E-2</c:v>
                </c:pt>
                <c:pt idx="99">
                  <c:v>3.2070000000000001E-2</c:v>
                </c:pt>
                <c:pt idx="100">
                  <c:v>2.2450000000000001E-2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C-AF46-852D-C6F20774F939}"/>
            </c:ext>
          </c:extLst>
        </c:ser>
        <c:ser>
          <c:idx val="1"/>
          <c:order val="1"/>
          <c:tx>
            <c:strRef>
              <c:f>'Q1'!$H$1</c:f>
              <c:strCache>
                <c:ptCount val="1"/>
                <c:pt idx="0">
                  <c:v>kp0_f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'Q1'!$H$2:$H$103</c:f>
              <c:numCache>
                <c:formatCode>0.000000</c:formatCode>
                <c:ptCount val="102"/>
                <c:pt idx="0">
                  <c:v>1</c:v>
                </c:pt>
                <c:pt idx="1">
                  <c:v>0.99704999999999999</c:v>
                </c:pt>
                <c:pt idx="2">
                  <c:v>0.99685000000000001</c:v>
                </c:pt>
                <c:pt idx="3">
                  <c:v>0.99673999999999996</c:v>
                </c:pt>
                <c:pt idx="4">
                  <c:v>0.99665000000000004</c:v>
                </c:pt>
                <c:pt idx="5">
                  <c:v>0.99656</c:v>
                </c:pt>
                <c:pt idx="6">
                  <c:v>0.99648000000000003</c:v>
                </c:pt>
                <c:pt idx="7">
                  <c:v>0.99641000000000002</c:v>
                </c:pt>
                <c:pt idx="8">
                  <c:v>0.99634999999999996</c:v>
                </c:pt>
                <c:pt idx="9">
                  <c:v>0.99629000000000001</c:v>
                </c:pt>
                <c:pt idx="10">
                  <c:v>0.99622999999999995</c:v>
                </c:pt>
                <c:pt idx="11">
                  <c:v>0.99617999999999995</c:v>
                </c:pt>
                <c:pt idx="12">
                  <c:v>0.99611000000000005</c:v>
                </c:pt>
                <c:pt idx="13">
                  <c:v>0.99604000000000004</c:v>
                </c:pt>
                <c:pt idx="14">
                  <c:v>0.99595999999999996</c:v>
                </c:pt>
                <c:pt idx="15">
                  <c:v>0.99585000000000001</c:v>
                </c:pt>
                <c:pt idx="16">
                  <c:v>0.99570999999999998</c:v>
                </c:pt>
                <c:pt idx="17">
                  <c:v>0.99553999999999998</c:v>
                </c:pt>
                <c:pt idx="18">
                  <c:v>0.99533000000000005</c:v>
                </c:pt>
                <c:pt idx="19">
                  <c:v>0.99511000000000005</c:v>
                </c:pt>
                <c:pt idx="20">
                  <c:v>0.99487000000000003</c:v>
                </c:pt>
                <c:pt idx="21">
                  <c:v>0.99463999999999997</c:v>
                </c:pt>
                <c:pt idx="22">
                  <c:v>0.99439999999999995</c:v>
                </c:pt>
                <c:pt idx="23">
                  <c:v>0.99414999999999998</c:v>
                </c:pt>
                <c:pt idx="24">
                  <c:v>0.99390999999999996</c:v>
                </c:pt>
                <c:pt idx="25">
                  <c:v>0.99367000000000005</c:v>
                </c:pt>
                <c:pt idx="26">
                  <c:v>0.99341999999999997</c:v>
                </c:pt>
                <c:pt idx="27">
                  <c:v>0.99317</c:v>
                </c:pt>
                <c:pt idx="28">
                  <c:v>0.9929</c:v>
                </c:pt>
                <c:pt idx="29">
                  <c:v>0.99263000000000001</c:v>
                </c:pt>
                <c:pt idx="30">
                  <c:v>0.99233000000000005</c:v>
                </c:pt>
                <c:pt idx="31">
                  <c:v>0.99202000000000001</c:v>
                </c:pt>
                <c:pt idx="32">
                  <c:v>0.99168999999999996</c:v>
                </c:pt>
                <c:pt idx="33">
                  <c:v>0.99133000000000004</c:v>
                </c:pt>
                <c:pt idx="34">
                  <c:v>0.99094000000000004</c:v>
                </c:pt>
                <c:pt idx="35">
                  <c:v>0.99051999999999996</c:v>
                </c:pt>
                <c:pt idx="36">
                  <c:v>0.99006000000000005</c:v>
                </c:pt>
                <c:pt idx="37">
                  <c:v>0.98956</c:v>
                </c:pt>
                <c:pt idx="38">
                  <c:v>0.98902000000000001</c:v>
                </c:pt>
                <c:pt idx="39">
                  <c:v>0.98843000000000003</c:v>
                </c:pt>
                <c:pt idx="40">
                  <c:v>0.98777999999999999</c:v>
                </c:pt>
                <c:pt idx="41">
                  <c:v>0.98707</c:v>
                </c:pt>
                <c:pt idx="42">
                  <c:v>0.98629999999999995</c:v>
                </c:pt>
                <c:pt idx="43">
                  <c:v>0.98546</c:v>
                </c:pt>
                <c:pt idx="44">
                  <c:v>0.98453999999999997</c:v>
                </c:pt>
                <c:pt idx="45">
                  <c:v>0.98353000000000002</c:v>
                </c:pt>
                <c:pt idx="46">
                  <c:v>0.98243999999999998</c:v>
                </c:pt>
                <c:pt idx="47">
                  <c:v>0.98124999999999996</c:v>
                </c:pt>
                <c:pt idx="48">
                  <c:v>0.97996000000000005</c:v>
                </c:pt>
                <c:pt idx="49">
                  <c:v>0.97855999999999999</c:v>
                </c:pt>
                <c:pt idx="50">
                  <c:v>0.97702999999999995</c:v>
                </c:pt>
                <c:pt idx="51">
                  <c:v>0.97538999999999998</c:v>
                </c:pt>
                <c:pt idx="52">
                  <c:v>0.97360999999999998</c:v>
                </c:pt>
                <c:pt idx="53">
                  <c:v>0.97169000000000005</c:v>
                </c:pt>
                <c:pt idx="54">
                  <c:v>0.96962000000000004</c:v>
                </c:pt>
                <c:pt idx="55">
                  <c:v>0.96738999999999997</c:v>
                </c:pt>
                <c:pt idx="56">
                  <c:v>0.96497999999999995</c:v>
                </c:pt>
                <c:pt idx="57">
                  <c:v>0.96238999999999997</c:v>
                </c:pt>
                <c:pt idx="58">
                  <c:v>0.95959000000000005</c:v>
                </c:pt>
                <c:pt idx="59">
                  <c:v>0.95657000000000003</c:v>
                </c:pt>
                <c:pt idx="60">
                  <c:v>0.95330999999999999</c:v>
                </c:pt>
                <c:pt idx="61">
                  <c:v>0.94979000000000002</c:v>
                </c:pt>
                <c:pt idx="62">
                  <c:v>0.94599</c:v>
                </c:pt>
                <c:pt idx="63">
                  <c:v>0.94189000000000001</c:v>
                </c:pt>
                <c:pt idx="64">
                  <c:v>0.93747000000000003</c:v>
                </c:pt>
                <c:pt idx="65">
                  <c:v>0.93269000000000002</c:v>
                </c:pt>
                <c:pt idx="66">
                  <c:v>0.92754000000000003</c:v>
                </c:pt>
                <c:pt idx="67">
                  <c:v>0.92200000000000004</c:v>
                </c:pt>
                <c:pt idx="68">
                  <c:v>0.91598999999999997</c:v>
                </c:pt>
                <c:pt idx="69">
                  <c:v>0.90937999999999997</c:v>
                </c:pt>
                <c:pt idx="70">
                  <c:v>0.90205000000000002</c:v>
                </c:pt>
                <c:pt idx="71">
                  <c:v>0.89398</c:v>
                </c:pt>
                <c:pt idx="72">
                  <c:v>0.88512999999999997</c:v>
                </c:pt>
                <c:pt idx="73">
                  <c:v>0.87541000000000002</c:v>
                </c:pt>
                <c:pt idx="74">
                  <c:v>0.86470999999999998</c:v>
                </c:pt>
                <c:pt idx="75">
                  <c:v>0.85287999999999997</c:v>
                </c:pt>
                <c:pt idx="76">
                  <c:v>0.83972999999999998</c:v>
                </c:pt>
                <c:pt idx="77">
                  <c:v>0.82508000000000004</c:v>
                </c:pt>
                <c:pt idx="78">
                  <c:v>0.80871000000000004</c:v>
                </c:pt>
                <c:pt idx="79">
                  <c:v>0.79040999999999995</c:v>
                </c:pt>
                <c:pt idx="80">
                  <c:v>0.76995999999999998</c:v>
                </c:pt>
                <c:pt idx="81">
                  <c:v>0.74717999999999996</c:v>
                </c:pt>
                <c:pt idx="82">
                  <c:v>0.72187999999999997</c:v>
                </c:pt>
                <c:pt idx="83">
                  <c:v>0.69394</c:v>
                </c:pt>
                <c:pt idx="84">
                  <c:v>0.66318999999999995</c:v>
                </c:pt>
                <c:pt idx="85">
                  <c:v>0.62948000000000004</c:v>
                </c:pt>
                <c:pt idx="86">
                  <c:v>0.5927</c:v>
                </c:pt>
                <c:pt idx="87">
                  <c:v>0.55283000000000004</c:v>
                </c:pt>
                <c:pt idx="88">
                  <c:v>0.50997999999999999</c:v>
                </c:pt>
                <c:pt idx="89">
                  <c:v>0.46450000000000002</c:v>
                </c:pt>
                <c:pt idx="90">
                  <c:v>0.41697000000000001</c:v>
                </c:pt>
                <c:pt idx="91">
                  <c:v>0.36829000000000001</c:v>
                </c:pt>
                <c:pt idx="92">
                  <c:v>0.31953999999999999</c:v>
                </c:pt>
                <c:pt idx="93">
                  <c:v>0.27188000000000001</c:v>
                </c:pt>
                <c:pt idx="94">
                  <c:v>0.22650000000000001</c:v>
                </c:pt>
                <c:pt idx="95">
                  <c:v>0.18448000000000001</c:v>
                </c:pt>
                <c:pt idx="96">
                  <c:v>0.14666000000000001</c:v>
                </c:pt>
                <c:pt idx="97">
                  <c:v>0.11366999999999999</c:v>
                </c:pt>
                <c:pt idx="98">
                  <c:v>8.5809999999999997E-2</c:v>
                </c:pt>
                <c:pt idx="99">
                  <c:v>6.3100000000000003E-2</c:v>
                </c:pt>
                <c:pt idx="100">
                  <c:v>4.5190000000000001E-2</c:v>
                </c:pt>
                <c:pt idx="101">
                  <c:v>3.1539999999999999E-2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C-AF46-852D-C6F20774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718015"/>
        <c:axId val="272188735"/>
      </c:lineChart>
      <c:catAx>
        <c:axId val="23871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88735"/>
        <c:crosses val="autoZero"/>
        <c:auto val="1"/>
        <c:lblAlgn val="ctr"/>
        <c:lblOffset val="100"/>
        <c:noMultiLvlLbl val="0"/>
      </c:catAx>
      <c:valAx>
        <c:axId val="2721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{}_k p₀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1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Deferred death {}_k∣q₀ (Male vs Female)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'Q1'!$E$1</c:f>
              <c:strCache>
                <c:ptCount val="1"/>
                <c:pt idx="0">
                  <c:v>k|q0_m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'Q1'!$E$2:$E$102</c:f>
              <c:numCache>
                <c:formatCode>0.000000</c:formatCode>
                <c:ptCount val="101"/>
                <c:pt idx="0">
                  <c:v>3.3900000000000041E-3</c:v>
                </c:pt>
                <c:pt idx="1">
                  <c:v>1.9999999999997797E-4</c:v>
                </c:pt>
                <c:pt idx="2">
                  <c:v>1.7000000000000348E-4</c:v>
                </c:pt>
                <c:pt idx="3">
                  <c:v>1.2999999999996348E-4</c:v>
                </c:pt>
                <c:pt idx="4">
                  <c:v>9.0000000000034497E-5</c:v>
                </c:pt>
                <c:pt idx="5">
                  <c:v>7.9999999999968985E-5</c:v>
                </c:pt>
                <c:pt idx="6">
                  <c:v>7.0000000000014495E-5</c:v>
                </c:pt>
                <c:pt idx="7">
                  <c:v>7.0000000000014495E-5</c:v>
                </c:pt>
                <c:pt idx="8">
                  <c:v>7.9999999999968985E-5</c:v>
                </c:pt>
                <c:pt idx="9">
                  <c:v>7.0000000000014495E-5</c:v>
                </c:pt>
                <c:pt idx="10">
                  <c:v>7.0000000000014495E-5</c:v>
                </c:pt>
                <c:pt idx="11">
                  <c:v>9.0000000000034497E-5</c:v>
                </c:pt>
                <c:pt idx="12">
                  <c:v>9.0000000000034497E-5</c:v>
                </c:pt>
                <c:pt idx="13">
                  <c:v>1.1999999999989797E-4</c:v>
                </c:pt>
                <c:pt idx="14">
                  <c:v>1.6000000000004899E-4</c:v>
                </c:pt>
                <c:pt idx="15">
                  <c:v>2.1999999999999797E-4</c:v>
                </c:pt>
                <c:pt idx="16">
                  <c:v>3.1999999999998696E-4</c:v>
                </c:pt>
                <c:pt idx="17">
                  <c:v>4.3999999999999595E-4</c:v>
                </c:pt>
                <c:pt idx="18">
                  <c:v>5.0000000000005596E-4</c:v>
                </c:pt>
                <c:pt idx="19">
                  <c:v>5.3999999999998494E-4</c:v>
                </c:pt>
                <c:pt idx="20">
                  <c:v>5.6000000000000494E-4</c:v>
                </c:pt>
                <c:pt idx="21">
                  <c:v>5.6999999999995943E-4</c:v>
                </c:pt>
                <c:pt idx="22">
                  <c:v>5.8999999999997943E-4</c:v>
                </c:pt>
                <c:pt idx="23">
                  <c:v>6.0000000000004494E-4</c:v>
                </c:pt>
                <c:pt idx="24">
                  <c:v>6.1999999999995392E-4</c:v>
                </c:pt>
                <c:pt idx="25">
                  <c:v>6.4000000000008495E-4</c:v>
                </c:pt>
                <c:pt idx="26">
                  <c:v>6.6999999999994841E-4</c:v>
                </c:pt>
                <c:pt idx="27">
                  <c:v>6.8000000000001393E-4</c:v>
                </c:pt>
                <c:pt idx="28">
                  <c:v>7.0000000000003393E-4</c:v>
                </c:pt>
                <c:pt idx="29">
                  <c:v>7.1999999999994291E-4</c:v>
                </c:pt>
                <c:pt idx="30">
                  <c:v>7.5000000000002842E-4</c:v>
                </c:pt>
                <c:pt idx="31">
                  <c:v>7.699999999999374E-4</c:v>
                </c:pt>
                <c:pt idx="32">
                  <c:v>8.0000000000002292E-4</c:v>
                </c:pt>
                <c:pt idx="33">
                  <c:v>8.2999999999999741E-4</c:v>
                </c:pt>
                <c:pt idx="34">
                  <c:v>8.7000000000003741E-4</c:v>
                </c:pt>
                <c:pt idx="35">
                  <c:v>9.0999999999996639E-4</c:v>
                </c:pt>
                <c:pt idx="36">
                  <c:v>9.6000000000007191E-4</c:v>
                </c:pt>
                <c:pt idx="37">
                  <c:v>1.0099999999999554E-3</c:v>
                </c:pt>
                <c:pt idx="38">
                  <c:v>1.0799999999999699E-3</c:v>
                </c:pt>
                <c:pt idx="39">
                  <c:v>1.1499999999999844E-3</c:v>
                </c:pt>
                <c:pt idx="40">
                  <c:v>1.2199999999999989E-3</c:v>
                </c:pt>
                <c:pt idx="41">
                  <c:v>1.3200000000000989E-3</c:v>
                </c:pt>
                <c:pt idx="42">
                  <c:v>1.4099999999999113E-3</c:v>
                </c:pt>
                <c:pt idx="43">
                  <c:v>1.5300000000000313E-3</c:v>
                </c:pt>
                <c:pt idx="44">
                  <c:v>1.6500000000000403E-3</c:v>
                </c:pt>
                <c:pt idx="45">
                  <c:v>1.7800000000000038E-3</c:v>
                </c:pt>
                <c:pt idx="46">
                  <c:v>1.9199999999999218E-3</c:v>
                </c:pt>
                <c:pt idx="47">
                  <c:v>2.0900000000000363E-3</c:v>
                </c:pt>
                <c:pt idx="48">
                  <c:v>2.2499999999999742E-3</c:v>
                </c:pt>
                <c:pt idx="49">
                  <c:v>2.4500000000000632E-3</c:v>
                </c:pt>
                <c:pt idx="50">
                  <c:v>2.6399999999999757E-3</c:v>
                </c:pt>
                <c:pt idx="51">
                  <c:v>2.8700000000000392E-3</c:v>
                </c:pt>
                <c:pt idx="52">
                  <c:v>3.0899999999999261E-3</c:v>
                </c:pt>
                <c:pt idx="53">
                  <c:v>3.3500000000000751E-3</c:v>
                </c:pt>
                <c:pt idx="54">
                  <c:v>3.6299999999999111E-3</c:v>
                </c:pt>
                <c:pt idx="55">
                  <c:v>3.9100000000000801E-3</c:v>
                </c:pt>
                <c:pt idx="56">
                  <c:v>4.2399999999999105E-3</c:v>
                </c:pt>
                <c:pt idx="57">
                  <c:v>4.5800000000000285E-3</c:v>
                </c:pt>
                <c:pt idx="58">
                  <c:v>4.9400000000000555E-3</c:v>
                </c:pt>
                <c:pt idx="59">
                  <c:v>5.3499999999999659E-3</c:v>
                </c:pt>
                <c:pt idx="60">
                  <c:v>5.7699999999999418E-3</c:v>
                </c:pt>
                <c:pt idx="61">
                  <c:v>6.2200000000000033E-3</c:v>
                </c:pt>
                <c:pt idx="62">
                  <c:v>6.7100000000001048E-3</c:v>
                </c:pt>
                <c:pt idx="63">
                  <c:v>7.2199999999998932E-3</c:v>
                </c:pt>
                <c:pt idx="64">
                  <c:v>7.7600000000001002E-3</c:v>
                </c:pt>
                <c:pt idx="65">
                  <c:v>8.3499999999999686E-3</c:v>
                </c:pt>
                <c:pt idx="66">
                  <c:v>8.979999999999988E-3</c:v>
                </c:pt>
                <c:pt idx="67">
                  <c:v>9.6899999999999764E-3</c:v>
                </c:pt>
                <c:pt idx="68">
                  <c:v>1.0469999999999979E-2</c:v>
                </c:pt>
                <c:pt idx="69">
                  <c:v>1.1330000000000062E-2</c:v>
                </c:pt>
                <c:pt idx="70">
                  <c:v>1.2270000000000003E-2</c:v>
                </c:pt>
                <c:pt idx="71">
                  <c:v>1.3309999999999933E-2</c:v>
                </c:pt>
                <c:pt idx="72">
                  <c:v>1.4450000000000074E-2</c:v>
                </c:pt>
                <c:pt idx="73">
                  <c:v>1.5689999999999982E-2</c:v>
                </c:pt>
                <c:pt idx="74">
                  <c:v>1.7089999999999939E-2</c:v>
                </c:pt>
                <c:pt idx="75">
                  <c:v>1.8630000000000035E-2</c:v>
                </c:pt>
                <c:pt idx="76">
                  <c:v>2.0340000000000025E-2</c:v>
                </c:pt>
                <c:pt idx="77">
                  <c:v>2.2190000000000043E-2</c:v>
                </c:pt>
                <c:pt idx="78">
                  <c:v>2.4179999999999979E-2</c:v>
                </c:pt>
                <c:pt idx="79">
                  <c:v>2.627999999999997E-2</c:v>
                </c:pt>
                <c:pt idx="80">
                  <c:v>2.8460000000000041E-2</c:v>
                </c:pt>
                <c:pt idx="81">
                  <c:v>3.0649999999999955E-2</c:v>
                </c:pt>
                <c:pt idx="82">
                  <c:v>3.288000000000002E-2</c:v>
                </c:pt>
                <c:pt idx="83">
                  <c:v>3.505999999999998E-2</c:v>
                </c:pt>
                <c:pt idx="84">
                  <c:v>3.7169999999999981E-2</c:v>
                </c:pt>
                <c:pt idx="85">
                  <c:v>3.9100000000000024E-2</c:v>
                </c:pt>
                <c:pt idx="86">
                  <c:v>4.0719999999999978E-2</c:v>
                </c:pt>
                <c:pt idx="87">
                  <c:v>4.1920000000000013E-2</c:v>
                </c:pt>
                <c:pt idx="88">
                  <c:v>4.2530000000000012E-2</c:v>
                </c:pt>
                <c:pt idx="89">
                  <c:v>4.2449999999999988E-2</c:v>
                </c:pt>
                <c:pt idx="90">
                  <c:v>4.1520000000000001E-2</c:v>
                </c:pt>
                <c:pt idx="91">
                  <c:v>3.9569999999999994E-2</c:v>
                </c:pt>
                <c:pt idx="92">
                  <c:v>3.6580000000000001E-2</c:v>
                </c:pt>
                <c:pt idx="93">
                  <c:v>3.2750000000000001E-2</c:v>
                </c:pt>
                <c:pt idx="94">
                  <c:v>2.8490000000000001E-2</c:v>
                </c:pt>
                <c:pt idx="95">
                  <c:v>2.410000000000001E-2</c:v>
                </c:pt>
                <c:pt idx="96">
                  <c:v>1.9879999999999995E-2</c:v>
                </c:pt>
                <c:pt idx="97">
                  <c:v>1.6E-2</c:v>
                </c:pt>
                <c:pt idx="98">
                  <c:v>1.2569999999999998E-2</c:v>
                </c:pt>
                <c:pt idx="99">
                  <c:v>9.6200000000000001E-3</c:v>
                </c:pt>
                <c:pt idx="100">
                  <c:v>7.1400000000000005E-3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2-7441-B343-107F4F903482}"/>
            </c:ext>
          </c:extLst>
        </c:ser>
        <c:ser>
          <c:idx val="1"/>
          <c:order val="1"/>
          <c:tx>
            <c:strRef>
              <c:f>'Q1'!$I$1</c:f>
              <c:strCache>
                <c:ptCount val="1"/>
                <c:pt idx="0">
                  <c:v>k|q0_f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'Q1'!$I$2:$I$103</c:f>
              <c:numCache>
                <c:formatCode>0.000000</c:formatCode>
                <c:ptCount val="102"/>
                <c:pt idx="0">
                  <c:v>2.9500000000000082E-3</c:v>
                </c:pt>
                <c:pt idx="1">
                  <c:v>1.9999999999997797E-4</c:v>
                </c:pt>
                <c:pt idx="2">
                  <c:v>1.100000000000545E-4</c:v>
                </c:pt>
                <c:pt idx="3">
                  <c:v>8.9999999999923475E-5</c:v>
                </c:pt>
                <c:pt idx="4">
                  <c:v>9.0000000000034497E-5</c:v>
                </c:pt>
                <c:pt idx="5">
                  <c:v>7.9999999999968985E-5</c:v>
                </c:pt>
                <c:pt idx="6">
                  <c:v>7.0000000000014495E-5</c:v>
                </c:pt>
                <c:pt idx="7">
                  <c:v>6.0000000000060005E-5</c:v>
                </c:pt>
                <c:pt idx="8">
                  <c:v>5.9999999999948983E-5</c:v>
                </c:pt>
                <c:pt idx="9">
                  <c:v>6.0000000000060005E-5</c:v>
                </c:pt>
                <c:pt idx="10">
                  <c:v>4.9999999999994493E-5</c:v>
                </c:pt>
                <c:pt idx="11">
                  <c:v>6.9999999999903473E-5</c:v>
                </c:pt>
                <c:pt idx="12">
                  <c:v>7.0000000000014495E-5</c:v>
                </c:pt>
                <c:pt idx="13">
                  <c:v>8.0000000000080007E-5</c:v>
                </c:pt>
                <c:pt idx="14">
                  <c:v>1.0999999999994348E-4</c:v>
                </c:pt>
                <c:pt idx="15">
                  <c:v>1.4000000000002899E-4</c:v>
                </c:pt>
                <c:pt idx="16">
                  <c:v>1.7000000000000348E-4</c:v>
                </c:pt>
                <c:pt idx="17">
                  <c:v>2.0999999999993246E-4</c:v>
                </c:pt>
                <c:pt idx="18">
                  <c:v>2.1999999999999797E-4</c:v>
                </c:pt>
                <c:pt idx="19">
                  <c:v>2.4000000000001798E-4</c:v>
                </c:pt>
                <c:pt idx="20">
                  <c:v>2.3000000000006349E-4</c:v>
                </c:pt>
                <c:pt idx="21">
                  <c:v>2.4000000000001798E-4</c:v>
                </c:pt>
                <c:pt idx="22">
                  <c:v>2.4999999999997247E-4</c:v>
                </c:pt>
                <c:pt idx="23">
                  <c:v>2.4000000000001798E-4</c:v>
                </c:pt>
                <c:pt idx="24">
                  <c:v>2.3999999999990695E-4</c:v>
                </c:pt>
                <c:pt idx="25">
                  <c:v>2.5000000000008349E-4</c:v>
                </c:pt>
                <c:pt idx="26">
                  <c:v>2.4999999999997247E-4</c:v>
                </c:pt>
                <c:pt idx="27">
                  <c:v>2.6999999999999247E-4</c:v>
                </c:pt>
                <c:pt idx="28">
                  <c:v>2.6999999999999247E-4</c:v>
                </c:pt>
                <c:pt idx="29">
                  <c:v>2.9999999999996696E-4</c:v>
                </c:pt>
                <c:pt idx="30">
                  <c:v>3.1000000000003247E-4</c:v>
                </c:pt>
                <c:pt idx="31">
                  <c:v>3.3000000000005247E-4</c:v>
                </c:pt>
                <c:pt idx="32">
                  <c:v>3.5999999999991594E-4</c:v>
                </c:pt>
                <c:pt idx="33">
                  <c:v>3.9000000000000146E-4</c:v>
                </c:pt>
                <c:pt idx="34">
                  <c:v>4.2000000000008697E-4</c:v>
                </c:pt>
                <c:pt idx="35">
                  <c:v>4.5999999999990493E-4</c:v>
                </c:pt>
                <c:pt idx="36">
                  <c:v>5.0000000000005596E-4</c:v>
                </c:pt>
                <c:pt idx="37">
                  <c:v>5.3999999999998494E-4</c:v>
                </c:pt>
                <c:pt idx="38">
                  <c:v>5.8999999999997943E-4</c:v>
                </c:pt>
                <c:pt idx="39">
                  <c:v>6.5000000000003944E-4</c:v>
                </c:pt>
                <c:pt idx="40">
                  <c:v>7.0999999999998842E-4</c:v>
                </c:pt>
                <c:pt idx="41">
                  <c:v>7.7000000000004842E-4</c:v>
                </c:pt>
                <c:pt idx="42">
                  <c:v>8.399999999999519E-4</c:v>
                </c:pt>
                <c:pt idx="43">
                  <c:v>9.200000000000319E-4</c:v>
                </c:pt>
                <c:pt idx="44">
                  <c:v>1.0099999999999554E-3</c:v>
                </c:pt>
                <c:pt idx="45">
                  <c:v>1.0900000000000354E-3</c:v>
                </c:pt>
                <c:pt idx="46">
                  <c:v>1.1900000000000244E-3</c:v>
                </c:pt>
                <c:pt idx="47">
                  <c:v>1.2899999999999023E-3</c:v>
                </c:pt>
                <c:pt idx="48">
                  <c:v>1.4000000000000679E-3</c:v>
                </c:pt>
                <c:pt idx="49">
                  <c:v>1.5300000000000313E-3</c:v>
                </c:pt>
                <c:pt idx="50">
                  <c:v>1.6399999999999748E-3</c:v>
                </c:pt>
                <c:pt idx="51">
                  <c:v>1.7800000000000038E-3</c:v>
                </c:pt>
                <c:pt idx="52">
                  <c:v>1.9199999999999218E-3</c:v>
                </c:pt>
                <c:pt idx="53">
                  <c:v>2.0700000000000163E-3</c:v>
                </c:pt>
                <c:pt idx="54">
                  <c:v>2.2300000000000653E-3</c:v>
                </c:pt>
                <c:pt idx="55">
                  <c:v>2.4100000000000232E-3</c:v>
                </c:pt>
                <c:pt idx="56">
                  <c:v>2.5899999999999812E-3</c:v>
                </c:pt>
                <c:pt idx="57">
                  <c:v>2.7999999999999137E-3</c:v>
                </c:pt>
                <c:pt idx="58">
                  <c:v>3.0200000000000227E-3</c:v>
                </c:pt>
                <c:pt idx="59">
                  <c:v>3.2600000000000406E-3</c:v>
                </c:pt>
                <c:pt idx="60">
                  <c:v>3.5199999999999676E-3</c:v>
                </c:pt>
                <c:pt idx="61">
                  <c:v>3.8000000000000256E-3</c:v>
                </c:pt>
                <c:pt idx="62">
                  <c:v>4.0999999999999925E-3</c:v>
                </c:pt>
                <c:pt idx="63">
                  <c:v>4.4199999999999795E-3</c:v>
                </c:pt>
                <c:pt idx="64">
                  <c:v>4.7800000000000065E-3</c:v>
                </c:pt>
                <c:pt idx="65">
                  <c:v>5.1499999999999879E-3</c:v>
                </c:pt>
                <c:pt idx="66">
                  <c:v>5.5399999999999894E-3</c:v>
                </c:pt>
                <c:pt idx="67">
                  <c:v>6.0100000000000708E-3</c:v>
                </c:pt>
                <c:pt idx="68">
                  <c:v>6.6100000000000048E-3</c:v>
                </c:pt>
                <c:pt idx="69">
                  <c:v>7.3299999999999477E-3</c:v>
                </c:pt>
                <c:pt idx="70">
                  <c:v>8.0700000000000216E-3</c:v>
                </c:pt>
                <c:pt idx="71">
                  <c:v>8.8500000000000245E-3</c:v>
                </c:pt>
                <c:pt idx="72">
                  <c:v>9.7199999999999509E-3</c:v>
                </c:pt>
                <c:pt idx="73">
                  <c:v>1.0700000000000043E-2</c:v>
                </c:pt>
                <c:pt idx="74">
                  <c:v>1.1830000000000007E-2</c:v>
                </c:pt>
                <c:pt idx="75">
                  <c:v>1.3149999999999995E-2</c:v>
                </c:pt>
                <c:pt idx="76">
                  <c:v>1.4649999999999941E-2</c:v>
                </c:pt>
                <c:pt idx="77">
                  <c:v>1.6369999999999996E-2</c:v>
                </c:pt>
                <c:pt idx="78">
                  <c:v>1.8300000000000094E-2</c:v>
                </c:pt>
                <c:pt idx="79">
                  <c:v>2.0449999999999968E-2</c:v>
                </c:pt>
                <c:pt idx="80">
                  <c:v>2.2780000000000022E-2</c:v>
                </c:pt>
                <c:pt idx="81">
                  <c:v>2.5299999999999989E-2</c:v>
                </c:pt>
                <c:pt idx="82">
                  <c:v>2.7939999999999965E-2</c:v>
                </c:pt>
                <c:pt idx="83">
                  <c:v>3.0750000000000055E-2</c:v>
                </c:pt>
                <c:pt idx="84">
                  <c:v>3.3709999999999907E-2</c:v>
                </c:pt>
                <c:pt idx="85">
                  <c:v>3.6780000000000035E-2</c:v>
                </c:pt>
                <c:pt idx="86">
                  <c:v>3.9869999999999961E-2</c:v>
                </c:pt>
                <c:pt idx="87">
                  <c:v>4.2850000000000055E-2</c:v>
                </c:pt>
                <c:pt idx="88">
                  <c:v>4.5479999999999965E-2</c:v>
                </c:pt>
                <c:pt idx="89">
                  <c:v>4.7530000000000017E-2</c:v>
                </c:pt>
                <c:pt idx="90">
                  <c:v>4.8680000000000001E-2</c:v>
                </c:pt>
                <c:pt idx="91">
                  <c:v>4.8750000000000016E-2</c:v>
                </c:pt>
                <c:pt idx="92">
                  <c:v>4.765999999999998E-2</c:v>
                </c:pt>
                <c:pt idx="93">
                  <c:v>4.5380000000000004E-2</c:v>
                </c:pt>
                <c:pt idx="94">
                  <c:v>4.2020000000000002E-2</c:v>
                </c:pt>
                <c:pt idx="95">
                  <c:v>3.7819999999999993E-2</c:v>
                </c:pt>
                <c:pt idx="96">
                  <c:v>3.2990000000000019E-2</c:v>
                </c:pt>
                <c:pt idx="97">
                  <c:v>2.7859999999999996E-2</c:v>
                </c:pt>
                <c:pt idx="98">
                  <c:v>2.2709999999999994E-2</c:v>
                </c:pt>
                <c:pt idx="99">
                  <c:v>1.7910000000000002E-2</c:v>
                </c:pt>
                <c:pt idx="100">
                  <c:v>1.3650000000000002E-2</c:v>
                </c:pt>
                <c:pt idx="101">
                  <c:v>3.1539999999999999E-2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2-7441-B343-107F4F903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02687"/>
        <c:axId val="230730239"/>
      </c:lineChart>
      <c:catAx>
        <c:axId val="23120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30239"/>
        <c:crosses val="autoZero"/>
        <c:auto val="1"/>
        <c:lblAlgn val="ctr"/>
        <c:lblOffset val="100"/>
        <c:noMultiLvlLbl val="0"/>
      </c:catAx>
      <c:valAx>
        <c:axId val="2307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{}_k∣q₀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2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Expected loss by duration (Conditional vs Unconditional)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Conditional (in-force): V_pro,k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'Q3'!$A$2:$A$22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'Q3'!$F$2:$F$22</c:f>
              <c:numCache>
                <c:formatCode>"$"#,##0.00</c:formatCode>
                <c:ptCount val="21"/>
                <c:pt idx="0" formatCode="0.00">
                  <c:v>2.0804691303055733E-11</c:v>
                </c:pt>
                <c:pt idx="1">
                  <c:v>481.22455491345772</c:v>
                </c:pt>
                <c:pt idx="2">
                  <c:v>805.52045453128562</c:v>
                </c:pt>
                <c:pt idx="3">
                  <c:v>1123.2928017579466</c:v>
                </c:pt>
                <c:pt idx="4">
                  <c:v>1428.4527298076002</c:v>
                </c:pt>
                <c:pt idx="5">
                  <c:v>1719.2993088372566</c:v>
                </c:pt>
                <c:pt idx="6">
                  <c:v>1992.2670472122543</c:v>
                </c:pt>
                <c:pt idx="7">
                  <c:v>2243.437712502986</c:v>
                </c:pt>
                <c:pt idx="8">
                  <c:v>2464.8631546884644</c:v>
                </c:pt>
                <c:pt idx="9">
                  <c:v>2655.2059371264477</c:v>
                </c:pt>
                <c:pt idx="10">
                  <c:v>2803.5006857194203</c:v>
                </c:pt>
                <c:pt idx="11">
                  <c:v>2907.4145461313392</c:v>
                </c:pt>
                <c:pt idx="12">
                  <c:v>2954.3697439490479</c:v>
                </c:pt>
                <c:pt idx="13">
                  <c:v>2940.8006677784597</c:v>
                </c:pt>
                <c:pt idx="14">
                  <c:v>2852.2021578320364</c:v>
                </c:pt>
                <c:pt idx="15">
                  <c:v>2676.8300502550546</c:v>
                </c:pt>
                <c:pt idx="16">
                  <c:v>2406.2623131396076</c:v>
                </c:pt>
                <c:pt idx="17">
                  <c:v>2019.5651759882292</c:v>
                </c:pt>
                <c:pt idx="18">
                  <c:v>1503.0067169628894</c:v>
                </c:pt>
                <c:pt idx="19">
                  <c:v>838.94688014908343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7-7C48-A625-11857949425B}"/>
            </c:ext>
          </c:extLst>
        </c:ser>
        <c:ser>
          <c:idx val="2"/>
          <c:order val="1"/>
          <c:tx>
            <c:v>Unconditional (per issued): kpx × V_pro,k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'Q3'!$A$2:$A$22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'Q3'!$H$2:$H$22</c:f>
              <c:numCache>
                <c:formatCode>"$"#,##0.00</c:formatCode>
                <c:ptCount val="21"/>
                <c:pt idx="0">
                  <c:v>2.0804691303055733E-11</c:v>
                </c:pt>
                <c:pt idx="1">
                  <c:v>480.62402100765138</c:v>
                </c:pt>
                <c:pt idx="2">
                  <c:v>803.42759436628342</c:v>
                </c:pt>
                <c:pt idx="3">
                  <c:v>1118.7542217708924</c:v>
                </c:pt>
                <c:pt idx="4">
                  <c:v>1420.4456094956738</c:v>
                </c:pt>
                <c:pt idx="5">
                  <c:v>1706.7600767511601</c:v>
                </c:pt>
                <c:pt idx="6">
                  <c:v>1974.1095837902076</c:v>
                </c:pt>
                <c:pt idx="7">
                  <c:v>2218.5850801648512</c:v>
                </c:pt>
                <c:pt idx="8">
                  <c:v>2432.2880928458521</c:v>
                </c:pt>
                <c:pt idx="9">
                  <c:v>2614.0043720334584</c:v>
                </c:pt>
                <c:pt idx="10">
                  <c:v>2752.9721755801265</c:v>
                </c:pt>
                <c:pt idx="11">
                  <c:v>2847.1618725929284</c:v>
                </c:pt>
                <c:pt idx="12">
                  <c:v>2884.4708341706664</c:v>
                </c:pt>
                <c:pt idx="13">
                  <c:v>2861.9276971874824</c:v>
                </c:pt>
                <c:pt idx="14">
                  <c:v>2765.9318096322313</c:v>
                </c:pt>
                <c:pt idx="15">
                  <c:v>2585.9248338432917</c:v>
                </c:pt>
                <c:pt idx="16">
                  <c:v>2314.921716138103</c:v>
                </c:pt>
                <c:pt idx="17">
                  <c:v>1934.1444398871743</c:v>
                </c:pt>
                <c:pt idx="18">
                  <c:v>1432.3932899563781</c:v>
                </c:pt>
                <c:pt idx="19">
                  <c:v>795.29267115869459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7-7C48-A625-118579494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12543"/>
        <c:axId val="231197759"/>
      </c:lineChart>
      <c:catAx>
        <c:axId val="201412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/>
                  <a:t>Policy duration 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97759"/>
        <c:crosses val="autoZero"/>
        <c:auto val="1"/>
        <c:lblAlgn val="ctr"/>
        <c:lblOffset val="100"/>
        <c:noMultiLvlLbl val="0"/>
      </c:catAx>
      <c:valAx>
        <c:axId val="23119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/>
                  <a:t>Expected loss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33130</xdr:colOff>
      <xdr:row>15</xdr:row>
      <xdr:rowOff>70955</xdr:rowOff>
    </xdr:from>
    <xdr:to>
      <xdr:col>15</xdr:col>
      <xdr:colOff>463826</xdr:colOff>
      <xdr:row>28</xdr:row>
      <xdr:rowOff>122307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33A49-592A-2231-6E99-2A59053A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30</xdr:row>
      <xdr:rowOff>146050</xdr:rowOff>
    </xdr:from>
    <xdr:to>
      <xdr:col>15</xdr:col>
      <xdr:colOff>431800</xdr:colOff>
      <xdr:row>44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2D91D4-8875-93F8-C8BF-E85191ACA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647700</xdr:colOff>
      <xdr:row>45</xdr:row>
      <xdr:rowOff>120650</xdr:rowOff>
    </xdr:from>
    <xdr:to>
      <xdr:col>15</xdr:col>
      <xdr:colOff>406400</xdr:colOff>
      <xdr:row>59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84E9A6-D636-E8C6-10FD-B5BB52361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596900</xdr:colOff>
      <xdr:row>11</xdr:row>
      <xdr:rowOff>133350</xdr:rowOff>
    </xdr:from>
    <xdr:to>
      <xdr:col>16</xdr:col>
      <xdr:colOff>457200</xdr:colOff>
      <xdr:row>25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3867B7-920A-CEDB-D6EC-839C534B8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74" workbookViewId="0">
      <selection activeCell="B7" sqref="B7"/>
    </sheetView>
  </sheetViews>
  <sheetFormatPr baseColWidth="10" defaultColWidth="8.83203125" defaultRowHeight="15" x14ac:dyDescent="0.2"/>
  <cols>
    <col min="1" max="1" width="12.6640625" customWidth="1"/>
    <col min="2" max="2" width="16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40</v>
      </c>
    </row>
    <row r="3" spans="1:2" x14ac:dyDescent="0.2">
      <c r="A3" t="s">
        <v>3</v>
      </c>
      <c r="B3">
        <v>20</v>
      </c>
    </row>
    <row r="4" spans="1:2" x14ac:dyDescent="0.2">
      <c r="A4" t="s">
        <v>4</v>
      </c>
      <c r="B4">
        <v>150000</v>
      </c>
    </row>
    <row r="5" spans="1:2" x14ac:dyDescent="0.2">
      <c r="A5" t="s">
        <v>5</v>
      </c>
      <c r="B5">
        <v>2.5000000000000001E-2</v>
      </c>
    </row>
    <row r="6" spans="1:2" x14ac:dyDescent="0.2">
      <c r="A6" t="s">
        <v>6</v>
      </c>
      <c r="B6">
        <f>4%</f>
        <v>0.04</v>
      </c>
    </row>
    <row r="7" spans="1:2" x14ac:dyDescent="0.2">
      <c r="A7" t="s">
        <v>7</v>
      </c>
      <c r="B7">
        <f>(1+B6)^(-1)</f>
        <v>0.96153846153846145</v>
      </c>
    </row>
    <row r="8" spans="1:2" x14ac:dyDescent="0.2">
      <c r="A8" t="s">
        <v>8</v>
      </c>
      <c r="B8">
        <v>250</v>
      </c>
    </row>
    <row r="9" spans="1:2" x14ac:dyDescent="0.2">
      <c r="A9" t="s">
        <v>9</v>
      </c>
      <c r="B9">
        <v>400</v>
      </c>
    </row>
    <row r="10" spans="1:2" x14ac:dyDescent="0.2">
      <c r="A10" t="s">
        <v>10</v>
      </c>
      <c r="B10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zoomScale="110" workbookViewId="0">
      <selection activeCell="B43" sqref="B43"/>
    </sheetView>
  </sheetViews>
  <sheetFormatPr baseColWidth="10" defaultColWidth="8.83203125" defaultRowHeight="15" x14ac:dyDescent="0.2"/>
  <cols>
    <col min="1" max="1" width="9.6640625" customWidth="1"/>
    <col min="2" max="2" width="14.6640625" customWidth="1"/>
    <col min="5" max="5" width="11.6640625" customWidth="1"/>
    <col min="6" max="6" width="14.6640625" customWidth="1"/>
  </cols>
  <sheetData>
    <row r="1" spans="1:6" x14ac:dyDescent="0.2">
      <c r="A1" t="s">
        <v>12</v>
      </c>
      <c r="B1" s="1" t="s">
        <v>11</v>
      </c>
      <c r="E1" t="s">
        <v>13</v>
      </c>
      <c r="F1" s="1" t="s">
        <v>11</v>
      </c>
    </row>
    <row r="2" spans="1:6" x14ac:dyDescent="0.2">
      <c r="A2">
        <v>0</v>
      </c>
      <c r="B2">
        <v>100000</v>
      </c>
      <c r="E2">
        <v>0</v>
      </c>
      <c r="F2">
        <v>100000</v>
      </c>
    </row>
    <row r="3" spans="1:6" x14ac:dyDescent="0.2">
      <c r="A3">
        <v>1</v>
      </c>
      <c r="B3">
        <v>99661</v>
      </c>
      <c r="E3">
        <v>1</v>
      </c>
      <c r="F3">
        <v>99705</v>
      </c>
    </row>
    <row r="4" spans="1:6" x14ac:dyDescent="0.2">
      <c r="A4">
        <v>2</v>
      </c>
      <c r="B4">
        <v>99641</v>
      </c>
      <c r="E4">
        <v>2</v>
      </c>
      <c r="F4">
        <v>99685</v>
      </c>
    </row>
    <row r="5" spans="1:6" x14ac:dyDescent="0.2">
      <c r="A5">
        <v>3</v>
      </c>
      <c r="B5">
        <v>99624</v>
      </c>
      <c r="E5">
        <v>3</v>
      </c>
      <c r="F5">
        <v>99674</v>
      </c>
    </row>
    <row r="6" spans="1:6" x14ac:dyDescent="0.2">
      <c r="A6">
        <v>4</v>
      </c>
      <c r="B6">
        <v>99611</v>
      </c>
      <c r="E6">
        <v>4</v>
      </c>
      <c r="F6">
        <v>99665</v>
      </c>
    </row>
    <row r="7" spans="1:6" x14ac:dyDescent="0.2">
      <c r="A7">
        <v>5</v>
      </c>
      <c r="B7">
        <v>99602</v>
      </c>
      <c r="E7">
        <v>5</v>
      </c>
      <c r="F7">
        <v>99656</v>
      </c>
    </row>
    <row r="8" spans="1:6" x14ac:dyDescent="0.2">
      <c r="A8">
        <v>6</v>
      </c>
      <c r="B8">
        <v>99594</v>
      </c>
      <c r="E8">
        <v>6</v>
      </c>
      <c r="F8">
        <v>99648</v>
      </c>
    </row>
    <row r="9" spans="1:6" x14ac:dyDescent="0.2">
      <c r="A9">
        <v>7</v>
      </c>
      <c r="B9">
        <v>99587</v>
      </c>
      <c r="E9">
        <v>7</v>
      </c>
      <c r="F9">
        <v>99641</v>
      </c>
    </row>
    <row r="10" spans="1:6" x14ac:dyDescent="0.2">
      <c r="A10">
        <v>8</v>
      </c>
      <c r="B10">
        <v>99580</v>
      </c>
      <c r="E10">
        <v>8</v>
      </c>
      <c r="F10">
        <v>99635</v>
      </c>
    </row>
    <row r="11" spans="1:6" x14ac:dyDescent="0.2">
      <c r="A11">
        <v>9</v>
      </c>
      <c r="B11">
        <v>99572</v>
      </c>
      <c r="E11">
        <v>9</v>
      </c>
      <c r="F11">
        <v>99629</v>
      </c>
    </row>
    <row r="12" spans="1:6" x14ac:dyDescent="0.2">
      <c r="A12">
        <v>10</v>
      </c>
      <c r="B12">
        <v>99565</v>
      </c>
      <c r="E12">
        <v>10</v>
      </c>
      <c r="F12">
        <v>99623</v>
      </c>
    </row>
    <row r="13" spans="1:6" x14ac:dyDescent="0.2">
      <c r="A13">
        <v>11</v>
      </c>
      <c r="B13">
        <v>99558</v>
      </c>
      <c r="E13">
        <v>11</v>
      </c>
      <c r="F13">
        <v>99618</v>
      </c>
    </row>
    <row r="14" spans="1:6" x14ac:dyDescent="0.2">
      <c r="A14">
        <v>12</v>
      </c>
      <c r="B14">
        <v>99549</v>
      </c>
      <c r="E14">
        <v>12</v>
      </c>
      <c r="F14">
        <v>99611</v>
      </c>
    </row>
    <row r="15" spans="1:6" x14ac:dyDescent="0.2">
      <c r="A15">
        <v>13</v>
      </c>
      <c r="B15">
        <v>99540</v>
      </c>
      <c r="E15">
        <v>13</v>
      </c>
      <c r="F15">
        <v>99604</v>
      </c>
    </row>
    <row r="16" spans="1:6" x14ac:dyDescent="0.2">
      <c r="A16">
        <v>14</v>
      </c>
      <c r="B16">
        <v>99528</v>
      </c>
      <c r="E16">
        <v>14</v>
      </c>
      <c r="F16">
        <v>99596</v>
      </c>
    </row>
    <row r="17" spans="1:6" x14ac:dyDescent="0.2">
      <c r="A17">
        <v>15</v>
      </c>
      <c r="B17">
        <v>99512</v>
      </c>
      <c r="E17">
        <v>15</v>
      </c>
      <c r="F17">
        <v>99585</v>
      </c>
    </row>
    <row r="18" spans="1:6" x14ac:dyDescent="0.2">
      <c r="A18">
        <v>16</v>
      </c>
      <c r="B18">
        <v>99490</v>
      </c>
      <c r="E18">
        <v>16</v>
      </c>
      <c r="F18">
        <v>99571</v>
      </c>
    </row>
    <row r="19" spans="1:6" x14ac:dyDescent="0.2">
      <c r="A19">
        <v>17</v>
      </c>
      <c r="B19">
        <v>99458</v>
      </c>
      <c r="E19">
        <v>17</v>
      </c>
      <c r="F19">
        <v>99554</v>
      </c>
    </row>
    <row r="20" spans="1:6" x14ac:dyDescent="0.2">
      <c r="A20">
        <v>18</v>
      </c>
      <c r="B20">
        <v>99414</v>
      </c>
      <c r="E20">
        <v>18</v>
      </c>
      <c r="F20">
        <v>99533</v>
      </c>
    </row>
    <row r="21" spans="1:6" x14ac:dyDescent="0.2">
      <c r="A21">
        <v>19</v>
      </c>
      <c r="B21">
        <v>99364</v>
      </c>
      <c r="E21">
        <v>19</v>
      </c>
      <c r="F21">
        <v>99511</v>
      </c>
    </row>
    <row r="22" spans="1:6" x14ac:dyDescent="0.2">
      <c r="A22">
        <v>20</v>
      </c>
      <c r="B22">
        <v>99310</v>
      </c>
      <c r="E22">
        <v>20</v>
      </c>
      <c r="F22">
        <v>99487</v>
      </c>
    </row>
    <row r="23" spans="1:6" x14ac:dyDescent="0.2">
      <c r="A23">
        <v>21</v>
      </c>
      <c r="B23">
        <v>99254</v>
      </c>
      <c r="E23">
        <v>21</v>
      </c>
      <c r="F23">
        <v>99464</v>
      </c>
    </row>
    <row r="24" spans="1:6" x14ac:dyDescent="0.2">
      <c r="A24">
        <v>22</v>
      </c>
      <c r="B24">
        <v>99197</v>
      </c>
      <c r="E24">
        <v>22</v>
      </c>
      <c r="F24">
        <v>99440</v>
      </c>
    </row>
    <row r="25" spans="1:6" x14ac:dyDescent="0.2">
      <c r="A25">
        <v>23</v>
      </c>
      <c r="B25">
        <v>99138</v>
      </c>
      <c r="E25">
        <v>23</v>
      </c>
      <c r="F25">
        <v>99415</v>
      </c>
    </row>
    <row r="26" spans="1:6" x14ac:dyDescent="0.2">
      <c r="A26">
        <v>24</v>
      </c>
      <c r="B26">
        <v>99078</v>
      </c>
      <c r="E26">
        <v>24</v>
      </c>
      <c r="F26">
        <v>99391</v>
      </c>
    </row>
    <row r="27" spans="1:6" x14ac:dyDescent="0.2">
      <c r="A27">
        <v>25</v>
      </c>
      <c r="B27">
        <v>99016</v>
      </c>
      <c r="E27">
        <v>25</v>
      </c>
      <c r="F27">
        <v>99367</v>
      </c>
    </row>
    <row r="28" spans="1:6" x14ac:dyDescent="0.2">
      <c r="A28">
        <v>26</v>
      </c>
      <c r="B28">
        <v>98952</v>
      </c>
      <c r="E28">
        <v>26</v>
      </c>
      <c r="F28">
        <v>99342</v>
      </c>
    </row>
    <row r="29" spans="1:6" x14ac:dyDescent="0.2">
      <c r="A29">
        <v>27</v>
      </c>
      <c r="B29">
        <v>98885</v>
      </c>
      <c r="E29">
        <v>27</v>
      </c>
      <c r="F29">
        <v>99317</v>
      </c>
    </row>
    <row r="30" spans="1:6" x14ac:dyDescent="0.2">
      <c r="A30">
        <v>28</v>
      </c>
      <c r="B30">
        <v>98817</v>
      </c>
      <c r="E30">
        <v>28</v>
      </c>
      <c r="F30">
        <v>99290</v>
      </c>
    </row>
    <row r="31" spans="1:6" x14ac:dyDescent="0.2">
      <c r="A31">
        <v>29</v>
      </c>
      <c r="B31">
        <v>98747</v>
      </c>
      <c r="E31">
        <v>29</v>
      </c>
      <c r="F31">
        <v>99263</v>
      </c>
    </row>
    <row r="32" spans="1:6" x14ac:dyDescent="0.2">
      <c r="A32">
        <v>30</v>
      </c>
      <c r="B32">
        <v>98675</v>
      </c>
      <c r="E32">
        <v>30</v>
      </c>
      <c r="F32">
        <v>99233</v>
      </c>
    </row>
    <row r="33" spans="1:6" x14ac:dyDescent="0.2">
      <c r="A33">
        <v>31</v>
      </c>
      <c r="B33">
        <v>98600</v>
      </c>
      <c r="E33">
        <v>31</v>
      </c>
      <c r="F33">
        <v>99202</v>
      </c>
    </row>
    <row r="34" spans="1:6" x14ac:dyDescent="0.2">
      <c r="A34">
        <v>32</v>
      </c>
      <c r="B34">
        <v>98523</v>
      </c>
      <c r="E34">
        <v>32</v>
      </c>
      <c r="F34">
        <v>99169</v>
      </c>
    </row>
    <row r="35" spans="1:6" x14ac:dyDescent="0.2">
      <c r="A35">
        <v>33</v>
      </c>
      <c r="B35">
        <v>98443</v>
      </c>
      <c r="E35">
        <v>33</v>
      </c>
      <c r="F35">
        <v>99133</v>
      </c>
    </row>
    <row r="36" spans="1:6" x14ac:dyDescent="0.2">
      <c r="A36">
        <v>34</v>
      </c>
      <c r="B36">
        <v>98360</v>
      </c>
      <c r="E36">
        <v>34</v>
      </c>
      <c r="F36">
        <v>99094</v>
      </c>
    </row>
    <row r="37" spans="1:6" x14ac:dyDescent="0.2">
      <c r="A37">
        <v>35</v>
      </c>
      <c r="B37">
        <v>98273</v>
      </c>
      <c r="E37">
        <v>35</v>
      </c>
      <c r="F37">
        <v>99052</v>
      </c>
    </row>
    <row r="38" spans="1:6" x14ac:dyDescent="0.2">
      <c r="A38">
        <v>36</v>
      </c>
      <c r="B38">
        <v>98182</v>
      </c>
      <c r="E38">
        <v>36</v>
      </c>
      <c r="F38">
        <v>99006</v>
      </c>
    </row>
    <row r="39" spans="1:6" x14ac:dyDescent="0.2">
      <c r="A39">
        <v>37</v>
      </c>
      <c r="B39">
        <v>98086</v>
      </c>
      <c r="E39">
        <v>37</v>
      </c>
      <c r="F39">
        <v>98956</v>
      </c>
    </row>
    <row r="40" spans="1:6" x14ac:dyDescent="0.2">
      <c r="A40">
        <v>38</v>
      </c>
      <c r="B40">
        <v>97985</v>
      </c>
      <c r="E40">
        <v>38</v>
      </c>
      <c r="F40">
        <v>98902</v>
      </c>
    </row>
    <row r="41" spans="1:6" x14ac:dyDescent="0.2">
      <c r="A41">
        <v>39</v>
      </c>
      <c r="B41">
        <v>97877</v>
      </c>
      <c r="E41">
        <v>39</v>
      </c>
      <c r="F41">
        <v>98843</v>
      </c>
    </row>
    <row r="42" spans="1:6" x14ac:dyDescent="0.2">
      <c r="A42">
        <v>40</v>
      </c>
      <c r="B42">
        <v>97762</v>
      </c>
      <c r="E42">
        <v>40</v>
      </c>
      <c r="F42">
        <v>98778</v>
      </c>
    </row>
    <row r="43" spans="1:6" x14ac:dyDescent="0.2">
      <c r="A43">
        <v>41</v>
      </c>
      <c r="B43">
        <v>97640</v>
      </c>
      <c r="E43">
        <v>41</v>
      </c>
      <c r="F43">
        <v>98707</v>
      </c>
    </row>
    <row r="44" spans="1:6" x14ac:dyDescent="0.2">
      <c r="A44">
        <v>42</v>
      </c>
      <c r="B44">
        <v>97508</v>
      </c>
      <c r="E44">
        <v>42</v>
      </c>
      <c r="F44">
        <v>98630</v>
      </c>
    </row>
    <row r="45" spans="1:6" x14ac:dyDescent="0.2">
      <c r="A45">
        <v>43</v>
      </c>
      <c r="B45">
        <v>97367</v>
      </c>
      <c r="E45">
        <v>43</v>
      </c>
      <c r="F45">
        <v>98546</v>
      </c>
    </row>
    <row r="46" spans="1:6" x14ac:dyDescent="0.2">
      <c r="A46">
        <v>44</v>
      </c>
      <c r="B46">
        <v>97214</v>
      </c>
      <c r="E46">
        <v>44</v>
      </c>
      <c r="F46">
        <v>98454</v>
      </c>
    </row>
    <row r="47" spans="1:6" x14ac:dyDescent="0.2">
      <c r="A47">
        <v>45</v>
      </c>
      <c r="B47">
        <v>97049</v>
      </c>
      <c r="E47">
        <v>45</v>
      </c>
      <c r="F47">
        <v>98353</v>
      </c>
    </row>
    <row r="48" spans="1:6" x14ac:dyDescent="0.2">
      <c r="A48">
        <v>46</v>
      </c>
      <c r="B48">
        <v>96871</v>
      </c>
      <c r="E48">
        <v>46</v>
      </c>
      <c r="F48">
        <v>98244</v>
      </c>
    </row>
    <row r="49" spans="1:6" x14ac:dyDescent="0.2">
      <c r="A49">
        <v>47</v>
      </c>
      <c r="B49">
        <v>96679</v>
      </c>
      <c r="E49">
        <v>47</v>
      </c>
      <c r="F49">
        <v>98125</v>
      </c>
    </row>
    <row r="50" spans="1:6" x14ac:dyDescent="0.2">
      <c r="A50">
        <v>48</v>
      </c>
      <c r="B50">
        <v>96470</v>
      </c>
      <c r="E50">
        <v>48</v>
      </c>
      <c r="F50">
        <v>97996</v>
      </c>
    </row>
    <row r="51" spans="1:6" x14ac:dyDescent="0.2">
      <c r="A51">
        <v>49</v>
      </c>
      <c r="B51">
        <v>96245</v>
      </c>
      <c r="E51">
        <v>49</v>
      </c>
      <c r="F51">
        <v>97856</v>
      </c>
    </row>
    <row r="52" spans="1:6" x14ac:dyDescent="0.2">
      <c r="A52">
        <v>50</v>
      </c>
      <c r="B52">
        <v>96000</v>
      </c>
      <c r="E52">
        <v>50</v>
      </c>
      <c r="F52">
        <v>97703</v>
      </c>
    </row>
    <row r="53" spans="1:6" x14ac:dyDescent="0.2">
      <c r="A53">
        <v>51</v>
      </c>
      <c r="B53">
        <v>95736</v>
      </c>
      <c r="E53">
        <v>51</v>
      </c>
      <c r="F53">
        <v>97539</v>
      </c>
    </row>
    <row r="54" spans="1:6" x14ac:dyDescent="0.2">
      <c r="A54">
        <v>52</v>
      </c>
      <c r="B54">
        <v>95449</v>
      </c>
      <c r="E54">
        <v>52</v>
      </c>
      <c r="F54">
        <v>97361</v>
      </c>
    </row>
    <row r="55" spans="1:6" x14ac:dyDescent="0.2">
      <c r="A55">
        <v>53</v>
      </c>
      <c r="B55">
        <v>95140</v>
      </c>
      <c r="E55">
        <v>53</v>
      </c>
      <c r="F55">
        <v>97169</v>
      </c>
    </row>
    <row r="56" spans="1:6" x14ac:dyDescent="0.2">
      <c r="A56">
        <v>54</v>
      </c>
      <c r="B56">
        <v>94805</v>
      </c>
      <c r="E56">
        <v>54</v>
      </c>
      <c r="F56">
        <v>96962</v>
      </c>
    </row>
    <row r="57" spans="1:6" x14ac:dyDescent="0.2">
      <c r="A57">
        <v>55</v>
      </c>
      <c r="B57">
        <v>94442</v>
      </c>
      <c r="E57">
        <v>55</v>
      </c>
      <c r="F57">
        <v>96739</v>
      </c>
    </row>
    <row r="58" spans="1:6" x14ac:dyDescent="0.2">
      <c r="A58">
        <v>56</v>
      </c>
      <c r="B58">
        <v>94051</v>
      </c>
      <c r="E58">
        <v>56</v>
      </c>
      <c r="F58">
        <v>96498</v>
      </c>
    </row>
    <row r="59" spans="1:6" x14ac:dyDescent="0.2">
      <c r="A59">
        <v>57</v>
      </c>
      <c r="B59">
        <v>93627</v>
      </c>
      <c r="E59">
        <v>57</v>
      </c>
      <c r="F59">
        <v>96239</v>
      </c>
    </row>
    <row r="60" spans="1:6" x14ac:dyDescent="0.2">
      <c r="A60">
        <v>58</v>
      </c>
      <c r="B60">
        <v>93169</v>
      </c>
      <c r="E60">
        <v>58</v>
      </c>
      <c r="F60">
        <v>95959</v>
      </c>
    </row>
    <row r="61" spans="1:6" x14ac:dyDescent="0.2">
      <c r="A61">
        <v>59</v>
      </c>
      <c r="B61">
        <v>92675</v>
      </c>
      <c r="E61">
        <v>59</v>
      </c>
      <c r="F61">
        <v>95657</v>
      </c>
    </row>
    <row r="62" spans="1:6" x14ac:dyDescent="0.2">
      <c r="A62">
        <v>60</v>
      </c>
      <c r="B62">
        <v>92140</v>
      </c>
      <c r="E62">
        <v>60</v>
      </c>
      <c r="F62">
        <v>95331</v>
      </c>
    </row>
    <row r="63" spans="1:6" x14ac:dyDescent="0.2">
      <c r="A63">
        <v>61</v>
      </c>
      <c r="B63">
        <v>91563</v>
      </c>
      <c r="E63">
        <v>61</v>
      </c>
      <c r="F63">
        <v>94979</v>
      </c>
    </row>
    <row r="64" spans="1:6" x14ac:dyDescent="0.2">
      <c r="A64">
        <v>62</v>
      </c>
      <c r="B64">
        <v>90941</v>
      </c>
      <c r="E64">
        <v>62</v>
      </c>
      <c r="F64">
        <v>94599</v>
      </c>
    </row>
    <row r="65" spans="1:6" x14ac:dyDescent="0.2">
      <c r="A65">
        <v>63</v>
      </c>
      <c r="B65">
        <v>90270</v>
      </c>
      <c r="E65">
        <v>63</v>
      </c>
      <c r="F65">
        <v>94189</v>
      </c>
    </row>
    <row r="66" spans="1:6" x14ac:dyDescent="0.2">
      <c r="A66">
        <v>64</v>
      </c>
      <c r="B66">
        <v>89548</v>
      </c>
      <c r="E66">
        <v>64</v>
      </c>
      <c r="F66">
        <v>93747</v>
      </c>
    </row>
    <row r="67" spans="1:6" x14ac:dyDescent="0.2">
      <c r="A67">
        <v>65</v>
      </c>
      <c r="B67">
        <v>88772</v>
      </c>
      <c r="E67">
        <v>65</v>
      </c>
      <c r="F67">
        <v>93269</v>
      </c>
    </row>
    <row r="68" spans="1:6" x14ac:dyDescent="0.2">
      <c r="A68">
        <v>66</v>
      </c>
      <c r="B68">
        <v>87937</v>
      </c>
      <c r="E68">
        <v>66</v>
      </c>
      <c r="F68">
        <v>92754</v>
      </c>
    </row>
    <row r="69" spans="1:6" x14ac:dyDescent="0.2">
      <c r="A69">
        <v>67</v>
      </c>
      <c r="B69">
        <v>87039</v>
      </c>
      <c r="E69">
        <v>67</v>
      </c>
      <c r="F69">
        <v>92200</v>
      </c>
    </row>
    <row r="70" spans="1:6" x14ac:dyDescent="0.2">
      <c r="A70">
        <v>68</v>
      </c>
      <c r="B70">
        <v>86070</v>
      </c>
      <c r="E70">
        <v>68</v>
      </c>
      <c r="F70">
        <v>91599</v>
      </c>
    </row>
    <row r="71" spans="1:6" x14ac:dyDescent="0.2">
      <c r="A71">
        <v>69</v>
      </c>
      <c r="B71">
        <v>85023</v>
      </c>
      <c r="E71">
        <v>69</v>
      </c>
      <c r="F71">
        <v>90938</v>
      </c>
    </row>
    <row r="72" spans="1:6" x14ac:dyDescent="0.2">
      <c r="A72">
        <v>70</v>
      </c>
      <c r="B72">
        <v>83890</v>
      </c>
      <c r="E72">
        <v>70</v>
      </c>
      <c r="F72">
        <v>90205</v>
      </c>
    </row>
    <row r="73" spans="1:6" x14ac:dyDescent="0.2">
      <c r="A73">
        <v>71</v>
      </c>
      <c r="B73">
        <v>82663</v>
      </c>
      <c r="E73">
        <v>71</v>
      </c>
      <c r="F73">
        <v>89398</v>
      </c>
    </row>
    <row r="74" spans="1:6" x14ac:dyDescent="0.2">
      <c r="A74">
        <v>72</v>
      </c>
      <c r="B74">
        <v>81332</v>
      </c>
      <c r="E74">
        <v>72</v>
      </c>
      <c r="F74">
        <v>88513</v>
      </c>
    </row>
    <row r="75" spans="1:6" x14ac:dyDescent="0.2">
      <c r="A75">
        <v>73</v>
      </c>
      <c r="B75">
        <v>79887</v>
      </c>
      <c r="E75">
        <v>73</v>
      </c>
      <c r="F75">
        <v>87541</v>
      </c>
    </row>
    <row r="76" spans="1:6" x14ac:dyDescent="0.2">
      <c r="A76">
        <v>74</v>
      </c>
      <c r="B76">
        <v>78318</v>
      </c>
      <c r="E76">
        <v>74</v>
      </c>
      <c r="F76">
        <v>86471</v>
      </c>
    </row>
    <row r="77" spans="1:6" x14ac:dyDescent="0.2">
      <c r="A77">
        <v>75</v>
      </c>
      <c r="B77">
        <v>76609</v>
      </c>
      <c r="E77">
        <v>75</v>
      </c>
      <c r="F77">
        <v>85288</v>
      </c>
    </row>
    <row r="78" spans="1:6" x14ac:dyDescent="0.2">
      <c r="A78">
        <v>76</v>
      </c>
      <c r="B78">
        <v>74746</v>
      </c>
      <c r="E78">
        <v>76</v>
      </c>
      <c r="F78">
        <v>83973</v>
      </c>
    </row>
    <row r="79" spans="1:6" x14ac:dyDescent="0.2">
      <c r="A79">
        <v>77</v>
      </c>
      <c r="B79">
        <v>72712</v>
      </c>
      <c r="E79">
        <v>77</v>
      </c>
      <c r="F79">
        <v>82508</v>
      </c>
    </row>
    <row r="80" spans="1:6" x14ac:dyDescent="0.2">
      <c r="A80">
        <v>78</v>
      </c>
      <c r="B80">
        <v>70493</v>
      </c>
      <c r="E80">
        <v>78</v>
      </c>
      <c r="F80">
        <v>80871</v>
      </c>
    </row>
    <row r="81" spans="1:6" x14ac:dyDescent="0.2">
      <c r="A81">
        <v>79</v>
      </c>
      <c r="B81">
        <v>68075</v>
      </c>
      <c r="E81">
        <v>79</v>
      </c>
      <c r="F81">
        <v>79041</v>
      </c>
    </row>
    <row r="82" spans="1:6" x14ac:dyDescent="0.2">
      <c r="A82">
        <v>80</v>
      </c>
      <c r="B82">
        <v>65447</v>
      </c>
      <c r="E82">
        <v>80</v>
      </c>
      <c r="F82">
        <v>76996</v>
      </c>
    </row>
    <row r="83" spans="1:6" x14ac:dyDescent="0.2">
      <c r="A83">
        <v>81</v>
      </c>
      <c r="B83">
        <v>62601</v>
      </c>
      <c r="E83">
        <v>81</v>
      </c>
      <c r="F83">
        <v>74718</v>
      </c>
    </row>
    <row r="84" spans="1:6" x14ac:dyDescent="0.2">
      <c r="A84">
        <v>82</v>
      </c>
      <c r="B84">
        <v>59536</v>
      </c>
      <c r="E84">
        <v>82</v>
      </c>
      <c r="F84">
        <v>72188</v>
      </c>
    </row>
    <row r="85" spans="1:6" x14ac:dyDescent="0.2">
      <c r="A85">
        <v>83</v>
      </c>
      <c r="B85">
        <v>56248</v>
      </c>
      <c r="E85">
        <v>83</v>
      </c>
      <c r="F85">
        <v>69394</v>
      </c>
    </row>
    <row r="86" spans="1:6" x14ac:dyDescent="0.2">
      <c r="A86">
        <v>84</v>
      </c>
      <c r="B86">
        <v>52742</v>
      </c>
      <c r="E86">
        <v>84</v>
      </c>
      <c r="F86">
        <v>66319</v>
      </c>
    </row>
    <row r="87" spans="1:6" x14ac:dyDescent="0.2">
      <c r="A87">
        <v>85</v>
      </c>
      <c r="B87">
        <v>49025</v>
      </c>
      <c r="E87">
        <v>85</v>
      </c>
      <c r="F87">
        <v>62948</v>
      </c>
    </row>
    <row r="88" spans="1:6" x14ac:dyDescent="0.2">
      <c r="A88">
        <v>86</v>
      </c>
      <c r="B88">
        <v>45115</v>
      </c>
      <c r="E88">
        <v>86</v>
      </c>
      <c r="F88">
        <v>59270</v>
      </c>
    </row>
    <row r="89" spans="1:6" x14ac:dyDescent="0.2">
      <c r="A89">
        <v>87</v>
      </c>
      <c r="B89">
        <v>41043</v>
      </c>
      <c r="E89">
        <v>87</v>
      </c>
      <c r="F89">
        <v>55283</v>
      </c>
    </row>
    <row r="90" spans="1:6" x14ac:dyDescent="0.2">
      <c r="A90">
        <v>88</v>
      </c>
      <c r="B90">
        <v>36851</v>
      </c>
      <c r="E90">
        <v>88</v>
      </c>
      <c r="F90">
        <v>50998</v>
      </c>
    </row>
    <row r="91" spans="1:6" x14ac:dyDescent="0.2">
      <c r="A91">
        <v>89</v>
      </c>
      <c r="B91">
        <v>32598</v>
      </c>
      <c r="E91">
        <v>89</v>
      </c>
      <c r="F91">
        <v>46450</v>
      </c>
    </row>
    <row r="92" spans="1:6" x14ac:dyDescent="0.2">
      <c r="A92">
        <v>90</v>
      </c>
      <c r="B92">
        <v>28353</v>
      </c>
      <c r="E92">
        <v>90</v>
      </c>
      <c r="F92">
        <v>41697</v>
      </c>
    </row>
    <row r="93" spans="1:6" x14ac:dyDescent="0.2">
      <c r="A93">
        <v>91</v>
      </c>
      <c r="B93">
        <v>24201</v>
      </c>
      <c r="E93">
        <v>91</v>
      </c>
      <c r="F93">
        <v>36829</v>
      </c>
    </row>
    <row r="94" spans="1:6" x14ac:dyDescent="0.2">
      <c r="A94">
        <v>92</v>
      </c>
      <c r="B94">
        <v>20244</v>
      </c>
      <c r="E94">
        <v>92</v>
      </c>
      <c r="F94">
        <v>31954</v>
      </c>
    </row>
    <row r="95" spans="1:6" x14ac:dyDescent="0.2">
      <c r="A95">
        <v>93</v>
      </c>
      <c r="B95">
        <v>16586</v>
      </c>
      <c r="E95">
        <v>93</v>
      </c>
      <c r="F95">
        <v>27188</v>
      </c>
    </row>
    <row r="96" spans="1:6" x14ac:dyDescent="0.2">
      <c r="A96">
        <v>94</v>
      </c>
      <c r="B96">
        <v>13311</v>
      </c>
      <c r="E96">
        <v>94</v>
      </c>
      <c r="F96">
        <v>22650</v>
      </c>
    </row>
    <row r="97" spans="1:6" x14ac:dyDescent="0.2">
      <c r="A97">
        <v>95</v>
      </c>
      <c r="B97">
        <v>10462</v>
      </c>
      <c r="E97">
        <v>95</v>
      </c>
      <c r="F97">
        <v>18448</v>
      </c>
    </row>
    <row r="98" spans="1:6" x14ac:dyDescent="0.2">
      <c r="A98">
        <v>96</v>
      </c>
      <c r="B98">
        <v>8052</v>
      </c>
      <c r="E98">
        <v>96</v>
      </c>
      <c r="F98">
        <v>14666</v>
      </c>
    </row>
    <row r="99" spans="1:6" x14ac:dyDescent="0.2">
      <c r="A99">
        <v>97</v>
      </c>
      <c r="B99">
        <v>6064</v>
      </c>
      <c r="E99">
        <v>97</v>
      </c>
      <c r="F99">
        <v>11367</v>
      </c>
    </row>
    <row r="100" spans="1:6" x14ac:dyDescent="0.2">
      <c r="A100">
        <v>98</v>
      </c>
      <c r="B100">
        <v>4464</v>
      </c>
      <c r="E100">
        <v>98</v>
      </c>
      <c r="F100">
        <v>8581</v>
      </c>
    </row>
    <row r="101" spans="1:6" x14ac:dyDescent="0.2">
      <c r="A101">
        <v>99</v>
      </c>
      <c r="B101">
        <v>3207</v>
      </c>
      <c r="E101">
        <v>99</v>
      </c>
      <c r="F101">
        <v>6310</v>
      </c>
    </row>
    <row r="102" spans="1:6" x14ac:dyDescent="0.2">
      <c r="A102">
        <v>100</v>
      </c>
      <c r="B102">
        <v>2245</v>
      </c>
      <c r="E102">
        <v>100</v>
      </c>
      <c r="F102">
        <v>4519</v>
      </c>
    </row>
    <row r="103" spans="1:6" x14ac:dyDescent="0.2">
      <c r="A103">
        <v>101</v>
      </c>
      <c r="B103">
        <v>1531</v>
      </c>
      <c r="E103">
        <v>101</v>
      </c>
      <c r="F103">
        <v>3154</v>
      </c>
    </row>
    <row r="104" spans="1:6" x14ac:dyDescent="0.2">
      <c r="A104">
        <v>102</v>
      </c>
      <c r="B104">
        <v>1018</v>
      </c>
      <c r="E104">
        <v>102</v>
      </c>
      <c r="F104">
        <v>2146</v>
      </c>
    </row>
    <row r="105" spans="1:6" x14ac:dyDescent="0.2">
      <c r="A105">
        <v>103</v>
      </c>
      <c r="B105">
        <v>661</v>
      </c>
      <c r="E105">
        <v>103</v>
      </c>
      <c r="F105">
        <v>1425</v>
      </c>
    </row>
    <row r="106" spans="1:6" x14ac:dyDescent="0.2">
      <c r="A106">
        <v>104</v>
      </c>
      <c r="B106">
        <v>419</v>
      </c>
      <c r="E106">
        <v>104</v>
      </c>
      <c r="F106">
        <v>924</v>
      </c>
    </row>
    <row r="107" spans="1:6" x14ac:dyDescent="0.2">
      <c r="A107">
        <v>105</v>
      </c>
      <c r="B107">
        <v>260</v>
      </c>
      <c r="E107">
        <v>105</v>
      </c>
      <c r="F107">
        <v>585</v>
      </c>
    </row>
    <row r="108" spans="1:6" x14ac:dyDescent="0.2">
      <c r="A108">
        <v>106</v>
      </c>
      <c r="B108">
        <v>158</v>
      </c>
      <c r="E108">
        <v>106</v>
      </c>
      <c r="F108">
        <v>361</v>
      </c>
    </row>
    <row r="109" spans="1:6" x14ac:dyDescent="0.2">
      <c r="A109">
        <v>107</v>
      </c>
      <c r="B109">
        <v>94</v>
      </c>
      <c r="E109">
        <v>107</v>
      </c>
      <c r="F109">
        <v>218</v>
      </c>
    </row>
    <row r="110" spans="1:6" x14ac:dyDescent="0.2">
      <c r="A110">
        <v>108</v>
      </c>
      <c r="B110">
        <v>55</v>
      </c>
      <c r="E110">
        <v>108</v>
      </c>
      <c r="F110">
        <v>129</v>
      </c>
    </row>
    <row r="111" spans="1:6" x14ac:dyDescent="0.2">
      <c r="A111">
        <v>109</v>
      </c>
      <c r="B111">
        <v>31</v>
      </c>
      <c r="E111">
        <v>109</v>
      </c>
      <c r="F11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11"/>
  <sheetViews>
    <sheetView tabSelected="1" topLeftCell="L1" zoomScale="270" zoomScaleNormal="234" workbookViewId="0">
      <selection activeCell="L2" sqref="L2"/>
    </sheetView>
  </sheetViews>
  <sheetFormatPr baseColWidth="10" defaultColWidth="8.83203125" defaultRowHeight="16" x14ac:dyDescent="0.2"/>
  <cols>
    <col min="1" max="1" width="7.6640625" style="2" customWidth="1"/>
    <col min="2" max="2" width="10.1640625" style="2" bestFit="1" customWidth="1"/>
    <col min="3" max="3" width="9.6640625" style="2" customWidth="1"/>
    <col min="4" max="4" width="14.83203125" style="2" customWidth="1"/>
    <col min="5" max="5" width="10" style="2" customWidth="1"/>
    <col min="6" max="6" width="9.33203125" style="2" bestFit="1" customWidth="1"/>
    <col min="7" max="9" width="9.1640625" style="2" bestFit="1" customWidth="1"/>
    <col min="10" max="10" width="8.83203125" style="2"/>
    <col min="11" max="11" width="11.83203125" style="2" customWidth="1"/>
    <col min="12" max="12" width="12.6640625" style="2" customWidth="1"/>
    <col min="13" max="13" width="10.33203125" style="2" bestFit="1" customWidth="1"/>
    <col min="14" max="14" width="10.6640625" style="2" bestFit="1" customWidth="1"/>
    <col min="15" max="16384" width="8.83203125" style="2"/>
  </cols>
  <sheetData>
    <row r="1" spans="1:17" x14ac:dyDescent="0.2">
      <c r="A1" s="5" t="s">
        <v>14</v>
      </c>
      <c r="B1" s="4" t="s">
        <v>15</v>
      </c>
      <c r="C1" s="4" t="s">
        <v>16</v>
      </c>
      <c r="D1" s="18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Q1" s="13"/>
    </row>
    <row r="2" spans="1:17" x14ac:dyDescent="0.2">
      <c r="A2" s="2">
        <v>0</v>
      </c>
      <c r="B2">
        <v>100000</v>
      </c>
      <c r="C2" s="3">
        <f>($B2-$B3)/$B2</f>
        <v>3.3899999999999998E-3</v>
      </c>
      <c r="D2" s="3">
        <f>B2/$B$2</f>
        <v>1</v>
      </c>
      <c r="E2" s="3">
        <f>B2/$B$2-B3/$B$2</f>
        <v>3.3900000000000041E-3</v>
      </c>
      <c r="F2">
        <v>100000</v>
      </c>
      <c r="G2" s="14">
        <f>($F2-$F3)/$F2</f>
        <v>2.9499999999999999E-3</v>
      </c>
      <c r="H2" s="3">
        <f>$F2/$F$2</f>
        <v>1</v>
      </c>
      <c r="I2" s="3">
        <f>$F2/$F$2-$F3/$F$2</f>
        <v>2.9500000000000082E-3</v>
      </c>
      <c r="K2" s="3">
        <f>SUM(B3:B102)/$B$2</f>
        <v>80.771699999999996</v>
      </c>
      <c r="L2" s="3">
        <f>SUM(F3:F102)/$F$2</f>
        <v>84.74812</v>
      </c>
      <c r="M2" s="3">
        <f>(SUM(B63:B102)/(B62))</f>
        <v>23.923192967223791</v>
      </c>
      <c r="N2" s="3" cm="1">
        <f t="array" ref="N2">SUM((F63:F102)/($F$62))</f>
        <v>26.757885682516719</v>
      </c>
    </row>
    <row r="3" spans="1:17" x14ac:dyDescent="0.2">
      <c r="A3" s="2">
        <v>1</v>
      </c>
      <c r="B3">
        <v>99661</v>
      </c>
      <c r="C3" s="3">
        <f t="shared" ref="C3:C66" si="0">($B3-$B4)/$B3</f>
        <v>2.0068030623814732E-4</v>
      </c>
      <c r="D3" s="3">
        <f>B3/$B$2</f>
        <v>0.99661</v>
      </c>
      <c r="E3" s="3">
        <f t="shared" ref="E3:E66" si="1">B3/$B$2-B4/$B$2</f>
        <v>1.9999999999997797E-4</v>
      </c>
      <c r="F3">
        <v>99705</v>
      </c>
      <c r="G3" s="14">
        <f t="shared" ref="G3:G66" si="2">($F3-$F4)/$F3</f>
        <v>2.0059174564966651E-4</v>
      </c>
      <c r="H3" s="3">
        <f t="shared" ref="H3:H66" si="3">$F3/$F$2</f>
        <v>0.99704999999999999</v>
      </c>
      <c r="I3" s="3">
        <f t="shared" ref="I3:I66" si="4">$F3/$F$2-$F4/$F$2</f>
        <v>1.9999999999997797E-4</v>
      </c>
      <c r="K3" s="3"/>
    </row>
    <row r="4" spans="1:17" x14ac:dyDescent="0.2">
      <c r="A4" s="2">
        <v>2</v>
      </c>
      <c r="B4">
        <v>99641</v>
      </c>
      <c r="C4" s="3">
        <f t="shared" si="0"/>
        <v>1.7061249887094669E-4</v>
      </c>
      <c r="D4" s="3">
        <f>B4/$B$2</f>
        <v>0.99641000000000002</v>
      </c>
      <c r="E4" s="3">
        <f t="shared" si="1"/>
        <v>1.7000000000000348E-4</v>
      </c>
      <c r="F4">
        <v>99685</v>
      </c>
      <c r="G4" s="14">
        <f t="shared" si="2"/>
        <v>1.1034759492401063E-4</v>
      </c>
      <c r="H4" s="3">
        <f t="shared" si="3"/>
        <v>0.99685000000000001</v>
      </c>
      <c r="I4" s="3">
        <f t="shared" si="4"/>
        <v>1.100000000000545E-4</v>
      </c>
      <c r="K4" s="19"/>
      <c r="M4" s="3"/>
    </row>
    <row r="5" spans="1:17" x14ac:dyDescent="0.2">
      <c r="A5" s="2">
        <v>3</v>
      </c>
      <c r="B5">
        <v>99624</v>
      </c>
      <c r="C5" s="3">
        <f t="shared" si="0"/>
        <v>1.3049064482454026E-4</v>
      </c>
      <c r="D5" s="3">
        <f t="shared" ref="D5:D66" si="5">B5/$B$2</f>
        <v>0.99624000000000001</v>
      </c>
      <c r="E5" s="3">
        <f t="shared" si="1"/>
        <v>1.2999999999996348E-4</v>
      </c>
      <c r="F5">
        <v>99674</v>
      </c>
      <c r="G5" s="14">
        <f t="shared" si="2"/>
        <v>9.029435961233622E-5</v>
      </c>
      <c r="H5" s="3">
        <f t="shared" si="3"/>
        <v>0.99673999999999996</v>
      </c>
      <c r="I5" s="3">
        <f t="shared" si="4"/>
        <v>8.9999999999923475E-5</v>
      </c>
    </row>
    <row r="6" spans="1:17" x14ac:dyDescent="0.2">
      <c r="A6" s="2">
        <v>4</v>
      </c>
      <c r="B6">
        <v>99611</v>
      </c>
      <c r="C6" s="3">
        <f t="shared" si="0"/>
        <v>9.0351467207436926E-5</v>
      </c>
      <c r="D6" s="3">
        <f t="shared" si="5"/>
        <v>0.99611000000000005</v>
      </c>
      <c r="E6" s="3">
        <f t="shared" si="1"/>
        <v>9.0000000000034497E-5</v>
      </c>
      <c r="F6">
        <v>99665</v>
      </c>
      <c r="G6" s="14">
        <f t="shared" si="2"/>
        <v>9.0302513419956862E-5</v>
      </c>
      <c r="H6" s="3">
        <f t="shared" si="3"/>
        <v>0.99665000000000004</v>
      </c>
      <c r="I6" s="3">
        <f t="shared" si="4"/>
        <v>9.0000000000034497E-5</v>
      </c>
    </row>
    <row r="7" spans="1:17" x14ac:dyDescent="0.2">
      <c r="A7" s="2">
        <v>5</v>
      </c>
      <c r="B7">
        <v>99602</v>
      </c>
      <c r="C7" s="3">
        <f t="shared" si="0"/>
        <v>8.031967229573704E-5</v>
      </c>
      <c r="D7" s="3">
        <f t="shared" si="5"/>
        <v>0.99602000000000002</v>
      </c>
      <c r="E7" s="3">
        <f t="shared" si="1"/>
        <v>7.9999999999968985E-5</v>
      </c>
      <c r="F7">
        <v>99656</v>
      </c>
      <c r="G7" s="14">
        <f t="shared" si="2"/>
        <v>8.0276149955848115E-5</v>
      </c>
      <c r="H7" s="3">
        <f t="shared" si="3"/>
        <v>0.99656</v>
      </c>
      <c r="I7" s="3">
        <f t="shared" si="4"/>
        <v>7.9999999999968985E-5</v>
      </c>
    </row>
    <row r="8" spans="1:17" x14ac:dyDescent="0.2">
      <c r="A8" s="2">
        <v>6</v>
      </c>
      <c r="B8">
        <v>99594</v>
      </c>
      <c r="C8" s="3">
        <f t="shared" si="0"/>
        <v>7.0285358555736285E-5</v>
      </c>
      <c r="D8" s="3">
        <f t="shared" si="5"/>
        <v>0.99594000000000005</v>
      </c>
      <c r="E8" s="3">
        <f t="shared" si="1"/>
        <v>7.0000000000014495E-5</v>
      </c>
      <c r="F8">
        <v>99648</v>
      </c>
      <c r="G8" s="14">
        <f t="shared" si="2"/>
        <v>7.0247270391779056E-5</v>
      </c>
      <c r="H8" s="3">
        <f t="shared" si="3"/>
        <v>0.99648000000000003</v>
      </c>
      <c r="I8" s="3">
        <f t="shared" si="4"/>
        <v>7.0000000000014495E-5</v>
      </c>
    </row>
    <row r="9" spans="1:17" x14ac:dyDescent="0.2">
      <c r="A9" s="2">
        <v>7</v>
      </c>
      <c r="B9">
        <v>99587</v>
      </c>
      <c r="C9" s="3">
        <f t="shared" si="0"/>
        <v>7.0290298934599899E-5</v>
      </c>
      <c r="D9" s="3">
        <f t="shared" si="5"/>
        <v>0.99587000000000003</v>
      </c>
      <c r="E9" s="3">
        <f t="shared" si="1"/>
        <v>7.0000000000014495E-5</v>
      </c>
      <c r="F9">
        <v>99641</v>
      </c>
      <c r="G9" s="14">
        <f t="shared" si="2"/>
        <v>6.0216176072098837E-5</v>
      </c>
      <c r="H9" s="3">
        <f t="shared" si="3"/>
        <v>0.99641000000000002</v>
      </c>
      <c r="I9" s="3">
        <f t="shared" si="4"/>
        <v>6.0000000000060005E-5</v>
      </c>
    </row>
    <row r="10" spans="1:17" x14ac:dyDescent="0.2">
      <c r="A10" s="2">
        <v>8</v>
      </c>
      <c r="B10">
        <v>99580</v>
      </c>
      <c r="C10" s="3">
        <f t="shared" si="0"/>
        <v>8.0337417152038566E-5</v>
      </c>
      <c r="D10" s="3">
        <f t="shared" si="5"/>
        <v>0.99580000000000002</v>
      </c>
      <c r="E10" s="3">
        <f t="shared" si="1"/>
        <v>7.9999999999968985E-5</v>
      </c>
      <c r="F10">
        <v>99635</v>
      </c>
      <c r="G10" s="14">
        <f t="shared" si="2"/>
        <v>6.0219802278315851E-5</v>
      </c>
      <c r="H10" s="3">
        <f t="shared" si="3"/>
        <v>0.99634999999999996</v>
      </c>
      <c r="I10" s="3">
        <f t="shared" si="4"/>
        <v>5.9999999999948983E-5</v>
      </c>
    </row>
    <row r="11" spans="1:17" x14ac:dyDescent="0.2">
      <c r="A11" s="2">
        <v>9</v>
      </c>
      <c r="B11">
        <v>99572</v>
      </c>
      <c r="C11" s="3">
        <f t="shared" si="0"/>
        <v>7.0300887799783072E-5</v>
      </c>
      <c r="D11" s="3">
        <f t="shared" si="5"/>
        <v>0.99572000000000005</v>
      </c>
      <c r="E11" s="3">
        <f t="shared" si="1"/>
        <v>7.0000000000014495E-5</v>
      </c>
      <c r="F11">
        <v>99629</v>
      </c>
      <c r="G11" s="14">
        <f t="shared" si="2"/>
        <v>6.0223428921298018E-5</v>
      </c>
      <c r="H11" s="3">
        <f t="shared" si="3"/>
        <v>0.99629000000000001</v>
      </c>
      <c r="I11" s="3">
        <f t="shared" si="4"/>
        <v>6.0000000000060005E-5</v>
      </c>
    </row>
    <row r="12" spans="1:17" x14ac:dyDescent="0.2">
      <c r="A12" s="2">
        <v>10</v>
      </c>
      <c r="B12">
        <v>99565</v>
      </c>
      <c r="C12" s="3">
        <f t="shared" si="0"/>
        <v>7.0305830362075024E-5</v>
      </c>
      <c r="D12" s="3">
        <f t="shared" si="5"/>
        <v>0.99565000000000003</v>
      </c>
      <c r="E12" s="3">
        <f t="shared" si="1"/>
        <v>7.0000000000014495E-5</v>
      </c>
      <c r="F12">
        <v>99623</v>
      </c>
      <c r="G12" s="14">
        <f t="shared" si="2"/>
        <v>5.0189213334270202E-5</v>
      </c>
      <c r="H12" s="3">
        <f t="shared" si="3"/>
        <v>0.99622999999999995</v>
      </c>
      <c r="I12" s="3">
        <f t="shared" si="4"/>
        <v>4.9999999999994493E-5</v>
      </c>
    </row>
    <row r="13" spans="1:17" x14ac:dyDescent="0.2">
      <c r="A13" s="2">
        <v>11</v>
      </c>
      <c r="B13">
        <v>99558</v>
      </c>
      <c r="C13" s="3">
        <f t="shared" si="0"/>
        <v>9.0399566082082806E-5</v>
      </c>
      <c r="D13" s="3">
        <f t="shared" si="5"/>
        <v>0.99558000000000002</v>
      </c>
      <c r="E13" s="3">
        <f t="shared" si="1"/>
        <v>9.0000000000034497E-5</v>
      </c>
      <c r="F13">
        <v>99618</v>
      </c>
      <c r="G13" s="14">
        <f t="shared" si="2"/>
        <v>7.0268425384970587E-5</v>
      </c>
      <c r="H13" s="3">
        <f t="shared" si="3"/>
        <v>0.99617999999999995</v>
      </c>
      <c r="I13" s="3">
        <f t="shared" si="4"/>
        <v>6.9999999999903473E-5</v>
      </c>
    </row>
    <row r="14" spans="1:17" x14ac:dyDescent="0.2">
      <c r="A14" s="2">
        <v>12</v>
      </c>
      <c r="B14">
        <v>99549</v>
      </c>
      <c r="C14" s="3">
        <f t="shared" si="0"/>
        <v>9.0407738902450053E-5</v>
      </c>
      <c r="D14" s="3">
        <f t="shared" si="5"/>
        <v>0.99548999999999999</v>
      </c>
      <c r="E14" s="3">
        <f t="shared" si="1"/>
        <v>9.0000000000034497E-5</v>
      </c>
      <c r="F14">
        <v>99611</v>
      </c>
      <c r="G14" s="14">
        <f t="shared" si="2"/>
        <v>7.0273363383562061E-5</v>
      </c>
      <c r="H14" s="3">
        <f t="shared" si="3"/>
        <v>0.99611000000000005</v>
      </c>
      <c r="I14" s="3">
        <f t="shared" si="4"/>
        <v>7.0000000000014495E-5</v>
      </c>
    </row>
    <row r="15" spans="1:17" x14ac:dyDescent="0.2">
      <c r="A15" s="2">
        <v>13</v>
      </c>
      <c r="B15">
        <v>99540</v>
      </c>
      <c r="C15" s="3">
        <f t="shared" si="0"/>
        <v>1.2055455093429777E-4</v>
      </c>
      <c r="D15" s="3">
        <f t="shared" si="5"/>
        <v>0.99539999999999995</v>
      </c>
      <c r="E15" s="3">
        <f t="shared" si="1"/>
        <v>1.1999999999989797E-4</v>
      </c>
      <c r="F15">
        <v>99604</v>
      </c>
      <c r="G15" s="14">
        <f t="shared" si="2"/>
        <v>8.0318059515682095E-5</v>
      </c>
      <c r="H15" s="3">
        <f t="shared" si="3"/>
        <v>0.99604000000000004</v>
      </c>
      <c r="I15" s="3">
        <f t="shared" si="4"/>
        <v>8.0000000000080007E-5</v>
      </c>
    </row>
    <row r="16" spans="1:17" x14ac:dyDescent="0.2">
      <c r="A16" s="2">
        <v>14</v>
      </c>
      <c r="B16">
        <v>99528</v>
      </c>
      <c r="C16" s="3">
        <f t="shared" si="0"/>
        <v>1.6075878144843661E-4</v>
      </c>
      <c r="D16" s="3">
        <f t="shared" si="5"/>
        <v>0.99528000000000005</v>
      </c>
      <c r="E16" s="3">
        <f t="shared" si="1"/>
        <v>1.6000000000004899E-4</v>
      </c>
      <c r="F16">
        <v>99596</v>
      </c>
      <c r="G16" s="14">
        <f t="shared" si="2"/>
        <v>1.1044620265874132E-4</v>
      </c>
      <c r="H16" s="3">
        <f t="shared" si="3"/>
        <v>0.99595999999999996</v>
      </c>
      <c r="I16" s="3">
        <f t="shared" si="4"/>
        <v>1.0999999999994348E-4</v>
      </c>
    </row>
    <row r="17" spans="1:9" x14ac:dyDescent="0.2">
      <c r="A17" s="2">
        <v>15</v>
      </c>
      <c r="B17">
        <v>99512</v>
      </c>
      <c r="C17" s="3">
        <f t="shared" si="0"/>
        <v>2.2107886486051934E-4</v>
      </c>
      <c r="D17" s="3">
        <f t="shared" si="5"/>
        <v>0.99512</v>
      </c>
      <c r="E17" s="3">
        <f t="shared" si="1"/>
        <v>2.1999999999999797E-4</v>
      </c>
      <c r="F17">
        <v>99585</v>
      </c>
      <c r="G17" s="14">
        <f t="shared" si="2"/>
        <v>1.4058342119797158E-4</v>
      </c>
      <c r="H17" s="3">
        <f t="shared" si="3"/>
        <v>0.99585000000000001</v>
      </c>
      <c r="I17" s="3">
        <f t="shared" si="4"/>
        <v>1.4000000000002899E-4</v>
      </c>
    </row>
    <row r="18" spans="1:9" x14ac:dyDescent="0.2">
      <c r="A18" s="2">
        <v>16</v>
      </c>
      <c r="B18">
        <v>99490</v>
      </c>
      <c r="C18" s="3">
        <f t="shared" si="0"/>
        <v>3.2164036586591617E-4</v>
      </c>
      <c r="D18" s="3">
        <f t="shared" si="5"/>
        <v>0.99490000000000001</v>
      </c>
      <c r="E18" s="3">
        <f t="shared" si="1"/>
        <v>3.1999999999998696E-4</v>
      </c>
      <c r="F18">
        <v>99571</v>
      </c>
      <c r="G18" s="14">
        <f t="shared" si="2"/>
        <v>1.7073244217693907E-4</v>
      </c>
      <c r="H18" s="3">
        <f t="shared" si="3"/>
        <v>0.99570999999999998</v>
      </c>
      <c r="I18" s="3">
        <f t="shared" si="4"/>
        <v>1.7000000000000348E-4</v>
      </c>
    </row>
    <row r="19" spans="1:9" x14ac:dyDescent="0.2">
      <c r="A19" s="2">
        <v>17</v>
      </c>
      <c r="B19">
        <v>99458</v>
      </c>
      <c r="C19" s="3">
        <f t="shared" si="0"/>
        <v>4.4239779605461602E-4</v>
      </c>
      <c r="D19" s="3">
        <f t="shared" si="5"/>
        <v>0.99458000000000002</v>
      </c>
      <c r="E19" s="3">
        <f t="shared" si="1"/>
        <v>4.3999999999999595E-4</v>
      </c>
      <c r="F19">
        <v>99554</v>
      </c>
      <c r="G19" s="14">
        <f t="shared" si="2"/>
        <v>2.1094079594993672E-4</v>
      </c>
      <c r="H19" s="3">
        <f t="shared" si="3"/>
        <v>0.99553999999999998</v>
      </c>
      <c r="I19" s="3">
        <f t="shared" si="4"/>
        <v>2.0999999999993246E-4</v>
      </c>
    </row>
    <row r="20" spans="1:9" x14ac:dyDescent="0.2">
      <c r="A20" s="2">
        <v>18</v>
      </c>
      <c r="B20">
        <v>99414</v>
      </c>
      <c r="C20" s="3">
        <f t="shared" si="0"/>
        <v>5.0294727100810746E-4</v>
      </c>
      <c r="D20" s="3">
        <f t="shared" si="5"/>
        <v>0.99414000000000002</v>
      </c>
      <c r="E20" s="3">
        <f t="shared" si="1"/>
        <v>5.0000000000005596E-4</v>
      </c>
      <c r="F20">
        <v>99533</v>
      </c>
      <c r="G20" s="14">
        <f t="shared" si="2"/>
        <v>2.2103222046959299E-4</v>
      </c>
      <c r="H20" s="3">
        <f t="shared" si="3"/>
        <v>0.99533000000000005</v>
      </c>
      <c r="I20" s="3">
        <f t="shared" si="4"/>
        <v>2.1999999999999797E-4</v>
      </c>
    </row>
    <row r="21" spans="1:9" x14ac:dyDescent="0.2">
      <c r="A21" s="2">
        <v>19</v>
      </c>
      <c r="B21">
        <v>99364</v>
      </c>
      <c r="C21" s="3">
        <f t="shared" si="0"/>
        <v>5.4345638259329331E-4</v>
      </c>
      <c r="D21" s="3">
        <f t="shared" si="5"/>
        <v>0.99363999999999997</v>
      </c>
      <c r="E21" s="3">
        <f t="shared" si="1"/>
        <v>5.3999999999998494E-4</v>
      </c>
      <c r="F21">
        <v>99511</v>
      </c>
      <c r="G21" s="14">
        <f t="shared" si="2"/>
        <v>2.4117936710514416E-4</v>
      </c>
      <c r="H21" s="3">
        <f t="shared" si="3"/>
        <v>0.99511000000000005</v>
      </c>
      <c r="I21" s="3">
        <f t="shared" si="4"/>
        <v>2.4000000000001798E-4</v>
      </c>
    </row>
    <row r="22" spans="1:9" x14ac:dyDescent="0.2">
      <c r="A22" s="2">
        <v>20</v>
      </c>
      <c r="B22">
        <v>99310</v>
      </c>
      <c r="C22" s="3">
        <f t="shared" si="0"/>
        <v>5.6389084684321821E-4</v>
      </c>
      <c r="D22" s="3">
        <f t="shared" si="5"/>
        <v>0.99309999999999998</v>
      </c>
      <c r="E22" s="3">
        <f t="shared" si="1"/>
        <v>5.6000000000000494E-4</v>
      </c>
      <c r="F22">
        <v>99487</v>
      </c>
      <c r="G22" s="14">
        <f t="shared" si="2"/>
        <v>2.3118598409842492E-4</v>
      </c>
      <c r="H22" s="3">
        <f t="shared" si="3"/>
        <v>0.99487000000000003</v>
      </c>
      <c r="I22" s="3">
        <f t="shared" si="4"/>
        <v>2.3000000000006349E-4</v>
      </c>
    </row>
    <row r="23" spans="1:9" x14ac:dyDescent="0.2">
      <c r="A23" s="2">
        <v>21</v>
      </c>
      <c r="B23">
        <v>99254</v>
      </c>
      <c r="C23" s="3">
        <f t="shared" si="0"/>
        <v>5.7428415983234928E-4</v>
      </c>
      <c r="D23" s="3">
        <f t="shared" si="5"/>
        <v>0.99253999999999998</v>
      </c>
      <c r="E23" s="3">
        <f t="shared" si="1"/>
        <v>5.6999999999995943E-4</v>
      </c>
      <c r="F23">
        <v>99464</v>
      </c>
      <c r="G23" s="14">
        <f t="shared" si="2"/>
        <v>2.4129333226091852E-4</v>
      </c>
      <c r="H23" s="3">
        <f t="shared" si="3"/>
        <v>0.99463999999999997</v>
      </c>
      <c r="I23" s="3">
        <f t="shared" si="4"/>
        <v>2.4000000000001798E-4</v>
      </c>
    </row>
    <row r="24" spans="1:9" x14ac:dyDescent="0.2">
      <c r="A24" s="2">
        <v>22</v>
      </c>
      <c r="B24">
        <v>99197</v>
      </c>
      <c r="C24" s="3">
        <f t="shared" si="0"/>
        <v>5.9477605169511172E-4</v>
      </c>
      <c r="D24" s="3">
        <f t="shared" si="5"/>
        <v>0.99197000000000002</v>
      </c>
      <c r="E24" s="3">
        <f t="shared" si="1"/>
        <v>5.8999999999997943E-4</v>
      </c>
      <c r="F24">
        <v>99440</v>
      </c>
      <c r="G24" s="14">
        <f t="shared" si="2"/>
        <v>2.5140788415124699E-4</v>
      </c>
      <c r="H24" s="3">
        <f t="shared" si="3"/>
        <v>0.99439999999999995</v>
      </c>
      <c r="I24" s="3">
        <f t="shared" si="4"/>
        <v>2.4999999999997247E-4</v>
      </c>
    </row>
    <row r="25" spans="1:9" x14ac:dyDescent="0.2">
      <c r="A25" s="2">
        <v>23</v>
      </c>
      <c r="B25">
        <v>99138</v>
      </c>
      <c r="C25" s="3">
        <f t="shared" si="0"/>
        <v>6.0521697028384676E-4</v>
      </c>
      <c r="D25" s="3">
        <f t="shared" si="5"/>
        <v>0.99138000000000004</v>
      </c>
      <c r="E25" s="3">
        <f t="shared" si="1"/>
        <v>6.0000000000004494E-4</v>
      </c>
      <c r="F25">
        <v>99415</v>
      </c>
      <c r="G25" s="14">
        <f t="shared" si="2"/>
        <v>2.414122617311271E-4</v>
      </c>
      <c r="H25" s="3">
        <f t="shared" si="3"/>
        <v>0.99414999999999998</v>
      </c>
      <c r="I25" s="3">
        <f t="shared" si="4"/>
        <v>2.4000000000001798E-4</v>
      </c>
    </row>
    <row r="26" spans="1:9" x14ac:dyDescent="0.2">
      <c r="A26" s="2">
        <v>24</v>
      </c>
      <c r="B26">
        <v>99078</v>
      </c>
      <c r="C26" s="3">
        <f t="shared" si="0"/>
        <v>6.257695956720967E-4</v>
      </c>
      <c r="D26" s="3">
        <f t="shared" si="5"/>
        <v>0.99077999999999999</v>
      </c>
      <c r="E26" s="3">
        <f t="shared" si="1"/>
        <v>6.1999999999995392E-4</v>
      </c>
      <c r="F26">
        <v>99391</v>
      </c>
      <c r="G26" s="14">
        <f t="shared" si="2"/>
        <v>2.4147055568411627E-4</v>
      </c>
      <c r="H26" s="3">
        <f t="shared" si="3"/>
        <v>0.99390999999999996</v>
      </c>
      <c r="I26" s="3">
        <f t="shared" si="4"/>
        <v>2.3999999999990695E-4</v>
      </c>
    </row>
    <row r="27" spans="1:9" x14ac:dyDescent="0.2">
      <c r="A27" s="2">
        <v>25</v>
      </c>
      <c r="B27">
        <v>99016</v>
      </c>
      <c r="C27" s="3">
        <f t="shared" si="0"/>
        <v>6.4636018421265252E-4</v>
      </c>
      <c r="D27" s="3">
        <f t="shared" si="5"/>
        <v>0.99016000000000004</v>
      </c>
      <c r="E27" s="3">
        <f t="shared" si="1"/>
        <v>6.4000000000008495E-4</v>
      </c>
      <c r="F27">
        <v>99367</v>
      </c>
      <c r="G27" s="14">
        <f t="shared" si="2"/>
        <v>2.5159258103797037E-4</v>
      </c>
      <c r="H27" s="3">
        <f t="shared" si="3"/>
        <v>0.99367000000000005</v>
      </c>
      <c r="I27" s="3">
        <f t="shared" si="4"/>
        <v>2.5000000000008349E-4</v>
      </c>
    </row>
    <row r="28" spans="1:9" x14ac:dyDescent="0.2">
      <c r="A28" s="2">
        <v>26</v>
      </c>
      <c r="B28">
        <v>98952</v>
      </c>
      <c r="C28" s="3">
        <f t="shared" si="0"/>
        <v>6.7709596572075354E-4</v>
      </c>
      <c r="D28" s="3">
        <f t="shared" si="5"/>
        <v>0.98951999999999996</v>
      </c>
      <c r="E28" s="3">
        <f t="shared" si="1"/>
        <v>6.6999999999994841E-4</v>
      </c>
      <c r="F28">
        <v>99342</v>
      </c>
      <c r="G28" s="14">
        <f t="shared" si="2"/>
        <v>2.5165589579432667E-4</v>
      </c>
      <c r="H28" s="3">
        <f t="shared" si="3"/>
        <v>0.99341999999999997</v>
      </c>
      <c r="I28" s="3">
        <f t="shared" si="4"/>
        <v>2.4999999999997247E-4</v>
      </c>
    </row>
    <row r="29" spans="1:9" x14ac:dyDescent="0.2">
      <c r="A29" s="2">
        <v>27</v>
      </c>
      <c r="B29">
        <v>98885</v>
      </c>
      <c r="C29" s="3">
        <f t="shared" si="0"/>
        <v>6.876674925418415E-4</v>
      </c>
      <c r="D29" s="3">
        <f t="shared" si="5"/>
        <v>0.98885000000000001</v>
      </c>
      <c r="E29" s="3">
        <f t="shared" si="1"/>
        <v>6.8000000000001393E-4</v>
      </c>
      <c r="F29">
        <v>99317</v>
      </c>
      <c r="G29" s="14">
        <f t="shared" si="2"/>
        <v>2.7185678181982942E-4</v>
      </c>
      <c r="H29" s="3">
        <f t="shared" si="3"/>
        <v>0.99317</v>
      </c>
      <c r="I29" s="3">
        <f t="shared" si="4"/>
        <v>2.6999999999999247E-4</v>
      </c>
    </row>
    <row r="30" spans="1:9" x14ac:dyDescent="0.2">
      <c r="A30" s="2">
        <v>28</v>
      </c>
      <c r="B30">
        <v>98817</v>
      </c>
      <c r="C30" s="3">
        <f t="shared" si="0"/>
        <v>7.0838013702095794E-4</v>
      </c>
      <c r="D30" s="3">
        <f t="shared" si="5"/>
        <v>0.98816999999999999</v>
      </c>
      <c r="E30" s="3">
        <f t="shared" si="1"/>
        <v>7.0000000000003393E-4</v>
      </c>
      <c r="F30">
        <v>99290</v>
      </c>
      <c r="G30" s="14">
        <f t="shared" si="2"/>
        <v>2.7193070802699162E-4</v>
      </c>
      <c r="H30" s="3">
        <f t="shared" si="3"/>
        <v>0.9929</v>
      </c>
      <c r="I30" s="3">
        <f t="shared" si="4"/>
        <v>2.6999999999999247E-4</v>
      </c>
    </row>
    <row r="31" spans="1:9" x14ac:dyDescent="0.2">
      <c r="A31" s="2">
        <v>29</v>
      </c>
      <c r="B31">
        <v>98747</v>
      </c>
      <c r="C31" s="3">
        <f t="shared" si="0"/>
        <v>7.2913607502000065E-4</v>
      </c>
      <c r="D31" s="3">
        <f t="shared" si="5"/>
        <v>0.98746999999999996</v>
      </c>
      <c r="E31" s="3">
        <f t="shared" si="1"/>
        <v>7.1999999999994291E-4</v>
      </c>
      <c r="F31">
        <v>99263</v>
      </c>
      <c r="G31" s="14">
        <f t="shared" si="2"/>
        <v>3.0222741605633518E-4</v>
      </c>
      <c r="H31" s="3">
        <f t="shared" si="3"/>
        <v>0.99263000000000001</v>
      </c>
      <c r="I31" s="3">
        <f t="shared" si="4"/>
        <v>2.9999999999996696E-4</v>
      </c>
    </row>
    <row r="32" spans="1:9" x14ac:dyDescent="0.2">
      <c r="A32" s="2">
        <v>30</v>
      </c>
      <c r="B32">
        <v>98675</v>
      </c>
      <c r="C32" s="3">
        <f t="shared" si="0"/>
        <v>7.6007093995439574E-4</v>
      </c>
      <c r="D32" s="3">
        <f t="shared" si="5"/>
        <v>0.98675000000000002</v>
      </c>
      <c r="E32" s="3">
        <f t="shared" si="1"/>
        <v>7.5000000000002842E-4</v>
      </c>
      <c r="F32">
        <v>99233</v>
      </c>
      <c r="G32" s="14">
        <f t="shared" si="2"/>
        <v>3.1239607791762818E-4</v>
      </c>
      <c r="H32" s="3">
        <f t="shared" si="3"/>
        <v>0.99233000000000005</v>
      </c>
      <c r="I32" s="3">
        <f t="shared" si="4"/>
        <v>3.1000000000003247E-4</v>
      </c>
    </row>
    <row r="33" spans="1:30" x14ac:dyDescent="0.2">
      <c r="A33" s="2">
        <v>31</v>
      </c>
      <c r="B33">
        <v>98600</v>
      </c>
      <c r="C33" s="3">
        <f t="shared" si="0"/>
        <v>7.8093306288032458E-4</v>
      </c>
      <c r="D33" s="3">
        <f t="shared" si="5"/>
        <v>0.98599999999999999</v>
      </c>
      <c r="E33" s="3">
        <f t="shared" si="1"/>
        <v>7.699999999999374E-4</v>
      </c>
      <c r="F33">
        <v>99202</v>
      </c>
      <c r="G33" s="14">
        <f t="shared" si="2"/>
        <v>3.3265458357694403E-4</v>
      </c>
      <c r="H33" s="3">
        <f t="shared" si="3"/>
        <v>0.99202000000000001</v>
      </c>
      <c r="I33" s="3">
        <f t="shared" si="4"/>
        <v>3.3000000000005247E-4</v>
      </c>
    </row>
    <row r="34" spans="1:30" x14ac:dyDescent="0.2">
      <c r="A34" s="2">
        <v>32</v>
      </c>
      <c r="B34">
        <v>98523</v>
      </c>
      <c r="C34" s="3">
        <f t="shared" si="0"/>
        <v>8.1199313865797833E-4</v>
      </c>
      <c r="D34" s="3">
        <f t="shared" si="5"/>
        <v>0.98523000000000005</v>
      </c>
      <c r="E34" s="3">
        <f t="shared" si="1"/>
        <v>8.0000000000002292E-4</v>
      </c>
      <c r="F34">
        <v>99169</v>
      </c>
      <c r="G34" s="14">
        <f t="shared" si="2"/>
        <v>3.6301666851536266E-4</v>
      </c>
      <c r="H34" s="3">
        <f t="shared" si="3"/>
        <v>0.99168999999999996</v>
      </c>
      <c r="I34" s="3">
        <f t="shared" si="4"/>
        <v>3.5999999999991594E-4</v>
      </c>
    </row>
    <row r="35" spans="1:30" x14ac:dyDescent="0.2">
      <c r="A35" s="2">
        <v>33</v>
      </c>
      <c r="B35">
        <v>98443</v>
      </c>
      <c r="C35" s="3">
        <f t="shared" si="0"/>
        <v>8.431274950986866E-4</v>
      </c>
      <c r="D35" s="3">
        <f t="shared" si="5"/>
        <v>0.98443000000000003</v>
      </c>
      <c r="E35" s="3">
        <f t="shared" si="1"/>
        <v>8.2999999999999741E-4</v>
      </c>
      <c r="F35">
        <v>99133</v>
      </c>
      <c r="G35" s="14">
        <f t="shared" si="2"/>
        <v>3.9341087226251603E-4</v>
      </c>
      <c r="H35" s="3">
        <f t="shared" si="3"/>
        <v>0.99133000000000004</v>
      </c>
      <c r="I35" s="3">
        <f t="shared" si="4"/>
        <v>3.9000000000000146E-4</v>
      </c>
    </row>
    <row r="36" spans="1:30" x14ac:dyDescent="0.2">
      <c r="A36" s="2">
        <v>34</v>
      </c>
      <c r="B36">
        <v>98360</v>
      </c>
      <c r="C36" s="3">
        <f t="shared" si="0"/>
        <v>8.8450589670597808E-4</v>
      </c>
      <c r="D36" s="3">
        <f t="shared" si="5"/>
        <v>0.98360000000000003</v>
      </c>
      <c r="E36" s="3">
        <f t="shared" si="1"/>
        <v>8.7000000000003741E-4</v>
      </c>
      <c r="F36">
        <v>99094</v>
      </c>
      <c r="G36" s="14">
        <f t="shared" si="2"/>
        <v>4.2383999031222878E-4</v>
      </c>
      <c r="H36" s="3">
        <f t="shared" si="3"/>
        <v>0.99094000000000004</v>
      </c>
      <c r="I36" s="3">
        <f t="shared" si="4"/>
        <v>4.2000000000008697E-4</v>
      </c>
    </row>
    <row r="37" spans="1:30" ht="16" customHeight="1" x14ac:dyDescent="0.2">
      <c r="A37" s="2">
        <v>35</v>
      </c>
      <c r="B37">
        <v>98273</v>
      </c>
      <c r="C37" s="3">
        <f t="shared" si="0"/>
        <v>9.2599187976351587E-4</v>
      </c>
      <c r="D37" s="3">
        <f t="shared" si="5"/>
        <v>0.98272999999999999</v>
      </c>
      <c r="E37" s="3">
        <f t="shared" si="1"/>
        <v>9.0999999999996639E-4</v>
      </c>
      <c r="F37">
        <v>99052</v>
      </c>
      <c r="G37" s="14">
        <f t="shared" si="2"/>
        <v>4.6440253604167507E-4</v>
      </c>
      <c r="H37" s="3">
        <f t="shared" si="3"/>
        <v>0.99051999999999996</v>
      </c>
      <c r="I37" s="3">
        <f t="shared" si="4"/>
        <v>4.5999999999990493E-4</v>
      </c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x14ac:dyDescent="0.2">
      <c r="A38" s="2">
        <v>36</v>
      </c>
      <c r="B38">
        <v>98182</v>
      </c>
      <c r="C38" s="3">
        <f t="shared" si="0"/>
        <v>9.7777596708154241E-4</v>
      </c>
      <c r="D38" s="3">
        <f t="shared" si="5"/>
        <v>0.98182000000000003</v>
      </c>
      <c r="E38" s="3">
        <f t="shared" si="1"/>
        <v>9.6000000000007191E-4</v>
      </c>
      <c r="F38">
        <v>99006</v>
      </c>
      <c r="G38" s="14">
        <f t="shared" si="2"/>
        <v>5.050198977839727E-4</v>
      </c>
      <c r="H38" s="3">
        <f t="shared" si="3"/>
        <v>0.99006000000000005</v>
      </c>
      <c r="I38" s="3">
        <f t="shared" si="4"/>
        <v>5.0000000000005596E-4</v>
      </c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x14ac:dyDescent="0.2">
      <c r="A39" s="2">
        <v>37</v>
      </c>
      <c r="B39">
        <v>98086</v>
      </c>
      <c r="C39" s="3">
        <f t="shared" si="0"/>
        <v>1.0297086230450828E-3</v>
      </c>
      <c r="D39" s="3">
        <f t="shared" si="5"/>
        <v>0.98085999999999995</v>
      </c>
      <c r="E39" s="3">
        <f t="shared" si="1"/>
        <v>1.0099999999999554E-3</v>
      </c>
      <c r="F39">
        <v>98956</v>
      </c>
      <c r="G39" s="14">
        <f t="shared" si="2"/>
        <v>5.45697077488985E-4</v>
      </c>
      <c r="H39" s="3">
        <f t="shared" si="3"/>
        <v>0.98956</v>
      </c>
      <c r="I39" s="3">
        <f t="shared" si="4"/>
        <v>5.3999999999998494E-4</v>
      </c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x14ac:dyDescent="0.2">
      <c r="A40" s="2">
        <v>38</v>
      </c>
      <c r="B40">
        <v>97985</v>
      </c>
      <c r="C40" s="3">
        <f t="shared" si="0"/>
        <v>1.1022095218655916E-3</v>
      </c>
      <c r="D40" s="3">
        <f t="shared" si="5"/>
        <v>0.97985</v>
      </c>
      <c r="E40" s="3">
        <f t="shared" si="1"/>
        <v>1.0799999999999699E-3</v>
      </c>
      <c r="F40">
        <v>98902</v>
      </c>
      <c r="G40" s="14">
        <f t="shared" si="2"/>
        <v>5.9655012032112595E-4</v>
      </c>
      <c r="H40" s="3">
        <f t="shared" si="3"/>
        <v>0.98902000000000001</v>
      </c>
      <c r="I40" s="3">
        <f t="shared" si="4"/>
        <v>5.8999999999997943E-4</v>
      </c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x14ac:dyDescent="0.2">
      <c r="A41" s="2">
        <v>39</v>
      </c>
      <c r="B41">
        <v>97877</v>
      </c>
      <c r="C41" s="3">
        <f t="shared" si="0"/>
        <v>1.1749440624457227E-3</v>
      </c>
      <c r="D41" s="3">
        <f t="shared" si="5"/>
        <v>0.97877000000000003</v>
      </c>
      <c r="E41" s="3">
        <f t="shared" si="1"/>
        <v>1.1499999999999844E-3</v>
      </c>
      <c r="F41">
        <v>98843</v>
      </c>
      <c r="G41" s="14">
        <f t="shared" si="2"/>
        <v>6.576085307002013E-4</v>
      </c>
      <c r="H41" s="3">
        <f t="shared" si="3"/>
        <v>0.98843000000000003</v>
      </c>
      <c r="I41" s="3">
        <f t="shared" si="4"/>
        <v>6.5000000000003944E-4</v>
      </c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x14ac:dyDescent="0.2">
      <c r="A42" s="2">
        <v>40</v>
      </c>
      <c r="B42">
        <v>97762</v>
      </c>
      <c r="C42" s="3">
        <f t="shared" si="0"/>
        <v>1.2479286430310346E-3</v>
      </c>
      <c r="D42" s="3">
        <f t="shared" si="5"/>
        <v>0.97762000000000004</v>
      </c>
      <c r="E42" s="3">
        <f t="shared" si="1"/>
        <v>1.2199999999999989E-3</v>
      </c>
      <c r="F42">
        <v>98778</v>
      </c>
      <c r="G42" s="14">
        <f t="shared" si="2"/>
        <v>7.1878353479519735E-4</v>
      </c>
      <c r="H42" s="3">
        <f t="shared" si="3"/>
        <v>0.98777999999999999</v>
      </c>
      <c r="I42" s="3">
        <f t="shared" si="4"/>
        <v>7.0999999999998842E-4</v>
      </c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x14ac:dyDescent="0.2">
      <c r="A43" s="2">
        <v>41</v>
      </c>
      <c r="B43">
        <v>97640</v>
      </c>
      <c r="C43" s="3">
        <f t="shared" si="0"/>
        <v>1.3519049569848422E-3</v>
      </c>
      <c r="D43" s="3">
        <f t="shared" si="5"/>
        <v>0.97640000000000005</v>
      </c>
      <c r="E43" s="3">
        <f t="shared" si="1"/>
        <v>1.3200000000000989E-3</v>
      </c>
      <c r="F43">
        <v>98707</v>
      </c>
      <c r="G43" s="14">
        <f t="shared" si="2"/>
        <v>7.80086518686618E-4</v>
      </c>
      <c r="H43" s="3">
        <f t="shared" si="3"/>
        <v>0.98707</v>
      </c>
      <c r="I43" s="3">
        <f t="shared" si="4"/>
        <v>7.7000000000004842E-4</v>
      </c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x14ac:dyDescent="0.2">
      <c r="A44" s="2">
        <v>42</v>
      </c>
      <c r="B44">
        <v>97508</v>
      </c>
      <c r="C44" s="3">
        <f t="shared" si="0"/>
        <v>1.4460351971120318E-3</v>
      </c>
      <c r="D44" s="3">
        <f t="shared" si="5"/>
        <v>0.97507999999999995</v>
      </c>
      <c r="E44" s="3">
        <f t="shared" si="1"/>
        <v>1.4099999999999113E-3</v>
      </c>
      <c r="F44">
        <v>98630</v>
      </c>
      <c r="G44" s="14">
        <f t="shared" si="2"/>
        <v>8.5166784953867993E-4</v>
      </c>
      <c r="H44" s="3">
        <f t="shared" si="3"/>
        <v>0.98629999999999995</v>
      </c>
      <c r="I44" s="3">
        <f t="shared" si="4"/>
        <v>8.399999999999519E-4</v>
      </c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x14ac:dyDescent="0.2">
      <c r="A45" s="2">
        <v>43</v>
      </c>
      <c r="B45">
        <v>97367</v>
      </c>
      <c r="C45" s="3">
        <f t="shared" si="0"/>
        <v>1.5713742849219961E-3</v>
      </c>
      <c r="D45" s="3">
        <f t="shared" si="5"/>
        <v>0.97367000000000004</v>
      </c>
      <c r="E45" s="3">
        <f t="shared" si="1"/>
        <v>1.5300000000000313E-3</v>
      </c>
      <c r="F45">
        <v>98546</v>
      </c>
      <c r="G45" s="14">
        <f t="shared" si="2"/>
        <v>9.3357416840866196E-4</v>
      </c>
      <c r="H45" s="3">
        <f t="shared" si="3"/>
        <v>0.98546</v>
      </c>
      <c r="I45" s="3">
        <f t="shared" si="4"/>
        <v>9.200000000000319E-4</v>
      </c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x14ac:dyDescent="0.2">
      <c r="A46" s="2">
        <v>44</v>
      </c>
      <c r="B46">
        <v>97214</v>
      </c>
      <c r="C46" s="3">
        <f t="shared" si="0"/>
        <v>1.6972863990783221E-3</v>
      </c>
      <c r="D46" s="3">
        <f t="shared" si="5"/>
        <v>0.97214</v>
      </c>
      <c r="E46" s="3">
        <f t="shared" si="1"/>
        <v>1.6500000000000403E-3</v>
      </c>
      <c r="F46">
        <v>98454</v>
      </c>
      <c r="G46" s="14">
        <f t="shared" si="2"/>
        <v>1.0258597923903548E-3</v>
      </c>
      <c r="H46" s="3">
        <f t="shared" si="3"/>
        <v>0.98453999999999997</v>
      </c>
      <c r="I46" s="3">
        <f t="shared" si="4"/>
        <v>1.0099999999999554E-3</v>
      </c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x14ac:dyDescent="0.2">
      <c r="A47" s="2">
        <v>45</v>
      </c>
      <c r="B47">
        <v>97049</v>
      </c>
      <c r="C47" s="3">
        <f t="shared" si="0"/>
        <v>1.8341250296242105E-3</v>
      </c>
      <c r="D47" s="3">
        <f t="shared" si="5"/>
        <v>0.97048999999999996</v>
      </c>
      <c r="E47" s="3">
        <f t="shared" si="1"/>
        <v>1.7800000000000038E-3</v>
      </c>
      <c r="F47">
        <v>98353</v>
      </c>
      <c r="G47" s="14">
        <f t="shared" si="2"/>
        <v>1.1082529256860492E-3</v>
      </c>
      <c r="H47" s="3">
        <f t="shared" si="3"/>
        <v>0.98353000000000002</v>
      </c>
      <c r="I47" s="3">
        <f t="shared" si="4"/>
        <v>1.0900000000000354E-3</v>
      </c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x14ac:dyDescent="0.2">
      <c r="A48" s="2">
        <v>46</v>
      </c>
      <c r="B48">
        <v>96871</v>
      </c>
      <c r="C48" s="3">
        <f t="shared" si="0"/>
        <v>1.9820173220055537E-3</v>
      </c>
      <c r="D48" s="3">
        <f t="shared" si="5"/>
        <v>0.96870999999999996</v>
      </c>
      <c r="E48" s="3">
        <f t="shared" si="1"/>
        <v>1.9199999999999218E-3</v>
      </c>
      <c r="F48">
        <v>98244</v>
      </c>
      <c r="G48" s="14">
        <f t="shared" si="2"/>
        <v>1.2112698994340622E-3</v>
      </c>
      <c r="H48" s="3">
        <f t="shared" si="3"/>
        <v>0.98243999999999998</v>
      </c>
      <c r="I48" s="3">
        <f t="shared" si="4"/>
        <v>1.1900000000000244E-3</v>
      </c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x14ac:dyDescent="0.2">
      <c r="A49" s="2">
        <v>47</v>
      </c>
      <c r="B49">
        <v>96679</v>
      </c>
      <c r="C49" s="3">
        <f t="shared" si="0"/>
        <v>2.1617931505290705E-3</v>
      </c>
      <c r="D49" s="3">
        <f t="shared" si="5"/>
        <v>0.96679000000000004</v>
      </c>
      <c r="E49" s="3">
        <f t="shared" si="1"/>
        <v>2.0900000000000363E-3</v>
      </c>
      <c r="F49">
        <v>98125</v>
      </c>
      <c r="G49" s="14">
        <f t="shared" si="2"/>
        <v>1.3146496815286625E-3</v>
      </c>
      <c r="H49" s="3">
        <f t="shared" si="3"/>
        <v>0.98124999999999996</v>
      </c>
      <c r="I49" s="3">
        <f t="shared" si="4"/>
        <v>1.2899999999999023E-3</v>
      </c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x14ac:dyDescent="0.2">
      <c r="A50" s="2">
        <v>48</v>
      </c>
      <c r="B50">
        <v>96470</v>
      </c>
      <c r="C50" s="3">
        <f t="shared" si="0"/>
        <v>2.3323312947030163E-3</v>
      </c>
      <c r="D50" s="3">
        <f t="shared" si="5"/>
        <v>0.9647</v>
      </c>
      <c r="E50" s="3">
        <f t="shared" si="1"/>
        <v>2.2499999999999742E-3</v>
      </c>
      <c r="F50">
        <v>97996</v>
      </c>
      <c r="G50" s="14">
        <f t="shared" si="2"/>
        <v>1.4286297399893873E-3</v>
      </c>
      <c r="H50" s="3">
        <f t="shared" si="3"/>
        <v>0.97996000000000005</v>
      </c>
      <c r="I50" s="3">
        <f t="shared" si="4"/>
        <v>1.4000000000000679E-3</v>
      </c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x14ac:dyDescent="0.2">
      <c r="A51" s="2">
        <v>49</v>
      </c>
      <c r="B51">
        <v>96245</v>
      </c>
      <c r="C51" s="3">
        <f t="shared" si="0"/>
        <v>2.5455867837290247E-3</v>
      </c>
      <c r="D51" s="3">
        <f t="shared" si="5"/>
        <v>0.96245000000000003</v>
      </c>
      <c r="E51" s="3">
        <f t="shared" si="1"/>
        <v>2.4500000000000632E-3</v>
      </c>
      <c r="F51">
        <v>97856</v>
      </c>
      <c r="G51" s="14">
        <f t="shared" si="2"/>
        <v>1.5635219097449313E-3</v>
      </c>
      <c r="H51" s="3">
        <f t="shared" si="3"/>
        <v>0.97855999999999999</v>
      </c>
      <c r="I51" s="3">
        <f t="shared" si="4"/>
        <v>1.5300000000000313E-3</v>
      </c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x14ac:dyDescent="0.2">
      <c r="A52" s="2">
        <v>50</v>
      </c>
      <c r="B52">
        <v>96000</v>
      </c>
      <c r="C52" s="3">
        <f t="shared" si="0"/>
        <v>2.7499999999999998E-3</v>
      </c>
      <c r="D52" s="3">
        <f t="shared" si="5"/>
        <v>0.96</v>
      </c>
      <c r="E52" s="3">
        <f t="shared" si="1"/>
        <v>2.6399999999999757E-3</v>
      </c>
      <c r="F52">
        <v>97703</v>
      </c>
      <c r="G52" s="14">
        <f t="shared" si="2"/>
        <v>1.6785564414603441E-3</v>
      </c>
      <c r="H52" s="3">
        <f t="shared" si="3"/>
        <v>0.97702999999999995</v>
      </c>
      <c r="I52" s="3">
        <f t="shared" si="4"/>
        <v>1.6399999999999748E-3</v>
      </c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x14ac:dyDescent="0.2">
      <c r="A53" s="2">
        <v>51</v>
      </c>
      <c r="B53">
        <v>95736</v>
      </c>
      <c r="C53" s="3">
        <f t="shared" si="0"/>
        <v>2.9978273585693992E-3</v>
      </c>
      <c r="D53" s="3">
        <f t="shared" si="5"/>
        <v>0.95735999999999999</v>
      </c>
      <c r="E53" s="3">
        <f t="shared" si="1"/>
        <v>2.8700000000000392E-3</v>
      </c>
      <c r="F53">
        <v>97539</v>
      </c>
      <c r="G53" s="14">
        <f t="shared" si="2"/>
        <v>1.824911061216539E-3</v>
      </c>
      <c r="H53" s="3">
        <f t="shared" si="3"/>
        <v>0.97538999999999998</v>
      </c>
      <c r="I53" s="3">
        <f t="shared" si="4"/>
        <v>1.7800000000000038E-3</v>
      </c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x14ac:dyDescent="0.2">
      <c r="A54" s="2">
        <v>52</v>
      </c>
      <c r="B54">
        <v>95449</v>
      </c>
      <c r="C54" s="3">
        <f t="shared" si="0"/>
        <v>3.2373309306540665E-3</v>
      </c>
      <c r="D54" s="3">
        <f t="shared" si="5"/>
        <v>0.95448999999999995</v>
      </c>
      <c r="E54" s="3">
        <f t="shared" si="1"/>
        <v>3.0899999999999261E-3</v>
      </c>
      <c r="F54">
        <v>97361</v>
      </c>
      <c r="G54" s="14">
        <f t="shared" si="2"/>
        <v>1.972042193486098E-3</v>
      </c>
      <c r="H54" s="3">
        <f t="shared" si="3"/>
        <v>0.97360999999999998</v>
      </c>
      <c r="I54" s="3">
        <f t="shared" si="4"/>
        <v>1.9199999999999218E-3</v>
      </c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x14ac:dyDescent="0.2">
      <c r="A55" s="2">
        <v>53</v>
      </c>
      <c r="B55">
        <v>95140</v>
      </c>
      <c r="C55" s="3">
        <f t="shared" si="0"/>
        <v>3.5211267605633804E-3</v>
      </c>
      <c r="D55" s="3">
        <f t="shared" si="5"/>
        <v>0.95140000000000002</v>
      </c>
      <c r="E55" s="3">
        <f t="shared" si="1"/>
        <v>3.3500000000000751E-3</v>
      </c>
      <c r="F55">
        <v>97169</v>
      </c>
      <c r="G55" s="14">
        <f t="shared" si="2"/>
        <v>2.1303090491823526E-3</v>
      </c>
      <c r="H55" s="3">
        <f t="shared" si="3"/>
        <v>0.97169000000000005</v>
      </c>
      <c r="I55" s="3">
        <f t="shared" si="4"/>
        <v>2.0700000000000163E-3</v>
      </c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x14ac:dyDescent="0.2">
      <c r="A56" s="2">
        <v>54</v>
      </c>
      <c r="B56">
        <v>94805</v>
      </c>
      <c r="C56" s="3">
        <f t="shared" si="0"/>
        <v>3.8289119772163915E-3</v>
      </c>
      <c r="D56" s="3">
        <f t="shared" si="5"/>
        <v>0.94804999999999995</v>
      </c>
      <c r="E56" s="3">
        <f t="shared" si="1"/>
        <v>3.6299999999999111E-3</v>
      </c>
      <c r="F56">
        <v>96962</v>
      </c>
      <c r="G56" s="14">
        <f t="shared" si="2"/>
        <v>2.2998700521853922E-3</v>
      </c>
      <c r="H56" s="3">
        <f t="shared" si="3"/>
        <v>0.96962000000000004</v>
      </c>
      <c r="I56" s="3">
        <f t="shared" si="4"/>
        <v>2.2300000000000653E-3</v>
      </c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x14ac:dyDescent="0.2">
      <c r="A57" s="2">
        <v>55</v>
      </c>
      <c r="B57">
        <v>94442</v>
      </c>
      <c r="C57" s="3">
        <f t="shared" si="0"/>
        <v>4.1401071557146188E-3</v>
      </c>
      <c r="D57" s="3">
        <f t="shared" si="5"/>
        <v>0.94442000000000004</v>
      </c>
      <c r="E57" s="3">
        <f t="shared" si="1"/>
        <v>3.9100000000000801E-3</v>
      </c>
      <c r="F57">
        <v>96739</v>
      </c>
      <c r="G57" s="14">
        <f t="shared" si="2"/>
        <v>2.4912393140305356E-3</v>
      </c>
      <c r="H57" s="3">
        <f t="shared" si="3"/>
        <v>0.96738999999999997</v>
      </c>
      <c r="I57" s="3">
        <f t="shared" si="4"/>
        <v>2.4100000000000232E-3</v>
      </c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x14ac:dyDescent="0.2">
      <c r="A58" s="2">
        <v>56</v>
      </c>
      <c r="B58">
        <v>94051</v>
      </c>
      <c r="C58" s="3">
        <f t="shared" si="0"/>
        <v>4.5081923637175572E-3</v>
      </c>
      <c r="D58" s="3">
        <f t="shared" si="5"/>
        <v>0.94050999999999996</v>
      </c>
      <c r="E58" s="3">
        <f t="shared" si="1"/>
        <v>4.2399999999999105E-3</v>
      </c>
      <c r="F58">
        <v>96498</v>
      </c>
      <c r="G58" s="14">
        <f t="shared" si="2"/>
        <v>2.6839934506414642E-3</v>
      </c>
      <c r="H58" s="3">
        <f t="shared" si="3"/>
        <v>0.96497999999999995</v>
      </c>
      <c r="I58" s="3">
        <f t="shared" si="4"/>
        <v>2.5899999999999812E-3</v>
      </c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x14ac:dyDescent="0.2">
      <c r="A59" s="2">
        <v>57</v>
      </c>
      <c r="B59">
        <v>93627</v>
      </c>
      <c r="C59" s="3">
        <f t="shared" si="0"/>
        <v>4.8917513110534354E-3</v>
      </c>
      <c r="D59" s="3">
        <f t="shared" si="5"/>
        <v>0.93627000000000005</v>
      </c>
      <c r="E59" s="3">
        <f t="shared" si="1"/>
        <v>4.5800000000000285E-3</v>
      </c>
      <c r="F59">
        <v>96239</v>
      </c>
      <c r="G59" s="14">
        <f t="shared" si="2"/>
        <v>2.9094234146240091E-3</v>
      </c>
      <c r="H59" s="3">
        <f t="shared" si="3"/>
        <v>0.96238999999999997</v>
      </c>
      <c r="I59" s="3">
        <f t="shared" si="4"/>
        <v>2.7999999999999137E-3</v>
      </c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x14ac:dyDescent="0.2">
      <c r="A60" s="2">
        <v>58</v>
      </c>
      <c r="B60">
        <v>93169</v>
      </c>
      <c r="C60" s="3">
        <f t="shared" si="0"/>
        <v>5.3021927894471334E-3</v>
      </c>
      <c r="D60" s="3">
        <f t="shared" si="5"/>
        <v>0.93169000000000002</v>
      </c>
      <c r="E60" s="3">
        <f t="shared" si="1"/>
        <v>4.9400000000000555E-3</v>
      </c>
      <c r="F60">
        <v>95959</v>
      </c>
      <c r="G60" s="14">
        <f t="shared" si="2"/>
        <v>3.1471774403651559E-3</v>
      </c>
      <c r="H60" s="3">
        <f t="shared" si="3"/>
        <v>0.95959000000000005</v>
      </c>
      <c r="I60" s="3">
        <f t="shared" si="4"/>
        <v>3.0200000000000227E-3</v>
      </c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x14ac:dyDescent="0.2">
      <c r="A61" s="2">
        <v>59</v>
      </c>
      <c r="B61">
        <v>92675</v>
      </c>
      <c r="C61" s="3">
        <f t="shared" si="0"/>
        <v>5.7728621526841111E-3</v>
      </c>
      <c r="D61" s="3">
        <f t="shared" si="5"/>
        <v>0.92674999999999996</v>
      </c>
      <c r="E61" s="3">
        <f t="shared" si="1"/>
        <v>5.3499999999999659E-3</v>
      </c>
      <c r="F61">
        <v>95657</v>
      </c>
      <c r="G61" s="14">
        <f t="shared" si="2"/>
        <v>3.4080098685929936E-3</v>
      </c>
      <c r="H61" s="3">
        <f t="shared" si="3"/>
        <v>0.95657000000000003</v>
      </c>
      <c r="I61" s="3">
        <f t="shared" si="4"/>
        <v>3.2600000000000406E-3</v>
      </c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x14ac:dyDescent="0.2">
      <c r="A62" s="2">
        <v>60</v>
      </c>
      <c r="B62">
        <v>92140</v>
      </c>
      <c r="C62" s="3">
        <f t="shared" si="0"/>
        <v>6.2622096809203387E-3</v>
      </c>
      <c r="D62" s="3">
        <f t="shared" si="5"/>
        <v>0.9214</v>
      </c>
      <c r="E62" s="3">
        <f t="shared" si="1"/>
        <v>5.7699999999999418E-3</v>
      </c>
      <c r="F62">
        <v>95331</v>
      </c>
      <c r="G62" s="14">
        <f t="shared" si="2"/>
        <v>3.6923980656869224E-3</v>
      </c>
      <c r="H62" s="3">
        <f t="shared" si="3"/>
        <v>0.95330999999999999</v>
      </c>
      <c r="I62" s="3">
        <f t="shared" si="4"/>
        <v>3.5199999999999676E-3</v>
      </c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x14ac:dyDescent="0.2">
      <c r="A63" s="2">
        <v>61</v>
      </c>
      <c r="B63">
        <v>91563</v>
      </c>
      <c r="C63" s="3">
        <f t="shared" si="0"/>
        <v>6.7931369658049646E-3</v>
      </c>
      <c r="D63" s="3">
        <f t="shared" si="5"/>
        <v>0.91563000000000005</v>
      </c>
      <c r="E63" s="3">
        <f t="shared" si="1"/>
        <v>6.2200000000000033E-3</v>
      </c>
      <c r="F63">
        <v>94979</v>
      </c>
      <c r="G63" s="14">
        <f t="shared" si="2"/>
        <v>4.0008844060265957E-3</v>
      </c>
      <c r="H63" s="3">
        <f t="shared" si="3"/>
        <v>0.94979000000000002</v>
      </c>
      <c r="I63" s="3">
        <f t="shared" si="4"/>
        <v>3.8000000000000256E-3</v>
      </c>
    </row>
    <row r="64" spans="1:30" x14ac:dyDescent="0.2">
      <c r="A64" s="2">
        <v>62</v>
      </c>
      <c r="B64">
        <v>90941</v>
      </c>
      <c r="C64" s="3">
        <f t="shared" si="0"/>
        <v>7.3784101780275122E-3</v>
      </c>
      <c r="D64" s="3">
        <f t="shared" si="5"/>
        <v>0.90941000000000005</v>
      </c>
      <c r="E64" s="3">
        <f t="shared" si="1"/>
        <v>6.7100000000001048E-3</v>
      </c>
      <c r="F64">
        <v>94599</v>
      </c>
      <c r="G64" s="14">
        <f t="shared" si="2"/>
        <v>4.3340838698083493E-3</v>
      </c>
      <c r="H64" s="3">
        <f t="shared" si="3"/>
        <v>0.94599</v>
      </c>
      <c r="I64" s="3">
        <f t="shared" si="4"/>
        <v>4.0999999999999925E-3</v>
      </c>
    </row>
    <row r="65" spans="1:9" x14ac:dyDescent="0.2">
      <c r="A65" s="2">
        <v>63</v>
      </c>
      <c r="B65">
        <v>90270</v>
      </c>
      <c r="C65" s="3">
        <f t="shared" si="0"/>
        <v>7.9982275396034124E-3</v>
      </c>
      <c r="D65" s="3">
        <f t="shared" si="5"/>
        <v>0.90269999999999995</v>
      </c>
      <c r="E65" s="3">
        <f t="shared" si="1"/>
        <v>7.2199999999998932E-3</v>
      </c>
      <c r="F65">
        <v>94189</v>
      </c>
      <c r="G65" s="14">
        <f t="shared" si="2"/>
        <v>4.6926923526101772E-3</v>
      </c>
      <c r="H65" s="3">
        <f t="shared" si="3"/>
        <v>0.94189000000000001</v>
      </c>
      <c r="I65" s="3">
        <f t="shared" si="4"/>
        <v>4.4199999999999795E-3</v>
      </c>
    </row>
    <row r="66" spans="1:9" x14ac:dyDescent="0.2">
      <c r="A66" s="2">
        <v>64</v>
      </c>
      <c r="B66">
        <v>89548</v>
      </c>
      <c r="C66" s="3">
        <f t="shared" si="0"/>
        <v>8.6657435118595617E-3</v>
      </c>
      <c r="D66" s="3">
        <f t="shared" si="5"/>
        <v>0.89548000000000005</v>
      </c>
      <c r="E66" s="3">
        <f t="shared" si="1"/>
        <v>7.7600000000001002E-3</v>
      </c>
      <c r="F66">
        <v>93747</v>
      </c>
      <c r="G66" s="14">
        <f t="shared" si="2"/>
        <v>5.0988298292212022E-3</v>
      </c>
      <c r="H66" s="3">
        <f t="shared" si="3"/>
        <v>0.93747000000000003</v>
      </c>
      <c r="I66" s="3">
        <f t="shared" si="4"/>
        <v>4.7800000000000065E-3</v>
      </c>
    </row>
    <row r="67" spans="1:9" x14ac:dyDescent="0.2">
      <c r="A67" s="2">
        <v>65</v>
      </c>
      <c r="B67">
        <v>88772</v>
      </c>
      <c r="C67" s="3">
        <f t="shared" ref="C67:C103" si="6">($B67-$B68)/$B67</f>
        <v>9.4061190465462088E-3</v>
      </c>
      <c r="D67" s="3">
        <f t="shared" ref="D67:D103" si="7">B67/$B$2</f>
        <v>0.88771999999999995</v>
      </c>
      <c r="E67" s="3">
        <f t="shared" ref="E67:E103" si="8">B67/$B$2-B68/$B$2</f>
        <v>8.3499999999999686E-3</v>
      </c>
      <c r="F67">
        <v>93269</v>
      </c>
      <c r="G67" s="14">
        <f t="shared" ref="G67:G103" si="9">($F67-$F68)/$F67</f>
        <v>5.5216631463830424E-3</v>
      </c>
      <c r="H67" s="3">
        <f t="shared" ref="H67:H103" si="10">$F67/$F$2</f>
        <v>0.93269000000000002</v>
      </c>
      <c r="I67" s="3">
        <f t="shared" ref="I67:I103" si="11">$F67/$F$2-$F68/$F$2</f>
        <v>5.1499999999999879E-3</v>
      </c>
    </row>
    <row r="68" spans="1:9" x14ac:dyDescent="0.2">
      <c r="A68" s="2">
        <v>66</v>
      </c>
      <c r="B68">
        <v>87937</v>
      </c>
      <c r="C68" s="3">
        <f t="shared" si="6"/>
        <v>1.0211856215245004E-2</v>
      </c>
      <c r="D68" s="3">
        <f t="shared" si="7"/>
        <v>0.87936999999999999</v>
      </c>
      <c r="E68" s="3">
        <f t="shared" si="8"/>
        <v>8.979999999999988E-3</v>
      </c>
      <c r="F68">
        <v>92754</v>
      </c>
      <c r="G68" s="14">
        <f t="shared" si="9"/>
        <v>5.9727882355477928E-3</v>
      </c>
      <c r="H68" s="3">
        <f t="shared" si="10"/>
        <v>0.92754000000000003</v>
      </c>
      <c r="I68" s="3">
        <f t="shared" si="11"/>
        <v>5.5399999999999894E-3</v>
      </c>
    </row>
    <row r="69" spans="1:9" x14ac:dyDescent="0.2">
      <c r="A69" s="2">
        <v>67</v>
      </c>
      <c r="B69">
        <v>87039</v>
      </c>
      <c r="C69" s="3">
        <f t="shared" si="6"/>
        <v>1.1132940406024885E-2</v>
      </c>
      <c r="D69" s="3">
        <f t="shared" si="7"/>
        <v>0.87039</v>
      </c>
      <c r="E69" s="3">
        <f t="shared" si="8"/>
        <v>9.6899999999999764E-3</v>
      </c>
      <c r="F69">
        <v>92200</v>
      </c>
      <c r="G69" s="14">
        <f t="shared" si="9"/>
        <v>6.5184381778741864E-3</v>
      </c>
      <c r="H69" s="3">
        <f t="shared" si="10"/>
        <v>0.92200000000000004</v>
      </c>
      <c r="I69" s="3">
        <f t="shared" si="11"/>
        <v>6.0100000000000708E-3</v>
      </c>
    </row>
    <row r="70" spans="1:9" x14ac:dyDescent="0.2">
      <c r="A70" s="2">
        <v>68</v>
      </c>
      <c r="B70">
        <v>86070</v>
      </c>
      <c r="C70" s="3">
        <f t="shared" si="6"/>
        <v>1.2164517253398397E-2</v>
      </c>
      <c r="D70" s="3">
        <f t="shared" si="7"/>
        <v>0.86070000000000002</v>
      </c>
      <c r="E70" s="3">
        <f t="shared" si="8"/>
        <v>1.0469999999999979E-2</v>
      </c>
      <c r="F70">
        <v>91599</v>
      </c>
      <c r="G70" s="14">
        <f t="shared" si="9"/>
        <v>7.2162359851090079E-3</v>
      </c>
      <c r="H70" s="3">
        <f t="shared" si="10"/>
        <v>0.91598999999999997</v>
      </c>
      <c r="I70" s="3">
        <f t="shared" si="11"/>
        <v>6.6100000000000048E-3</v>
      </c>
    </row>
    <row r="71" spans="1:9" x14ac:dyDescent="0.2">
      <c r="A71" s="2">
        <v>69</v>
      </c>
      <c r="B71">
        <v>85023</v>
      </c>
      <c r="C71" s="3">
        <f t="shared" si="6"/>
        <v>1.332580595838773E-2</v>
      </c>
      <c r="D71" s="3">
        <f t="shared" si="7"/>
        <v>0.85023000000000004</v>
      </c>
      <c r="E71" s="3">
        <f t="shared" si="8"/>
        <v>1.1330000000000062E-2</v>
      </c>
      <c r="F71">
        <v>90938</v>
      </c>
      <c r="G71" s="14">
        <f t="shared" si="9"/>
        <v>8.0604367811036096E-3</v>
      </c>
      <c r="H71" s="3">
        <f t="shared" si="10"/>
        <v>0.90937999999999997</v>
      </c>
      <c r="I71" s="3">
        <f t="shared" si="11"/>
        <v>7.3299999999999477E-3</v>
      </c>
    </row>
    <row r="72" spans="1:9" x14ac:dyDescent="0.2">
      <c r="A72" s="2">
        <v>70</v>
      </c>
      <c r="B72">
        <v>83890</v>
      </c>
      <c r="C72" s="3">
        <f t="shared" si="6"/>
        <v>1.4626296340445821E-2</v>
      </c>
      <c r="D72" s="3">
        <f t="shared" si="7"/>
        <v>0.83889999999999998</v>
      </c>
      <c r="E72" s="3">
        <f t="shared" si="8"/>
        <v>1.2270000000000003E-2</v>
      </c>
      <c r="F72">
        <v>90205</v>
      </c>
      <c r="G72" s="14">
        <f t="shared" si="9"/>
        <v>8.9462890083698236E-3</v>
      </c>
      <c r="H72" s="3">
        <f t="shared" si="10"/>
        <v>0.90205000000000002</v>
      </c>
      <c r="I72" s="3">
        <f t="shared" si="11"/>
        <v>8.0700000000000216E-3</v>
      </c>
    </row>
    <row r="73" spans="1:9" x14ac:dyDescent="0.2">
      <c r="A73" s="2">
        <v>71</v>
      </c>
      <c r="B73">
        <v>82663</v>
      </c>
      <c r="C73" s="3">
        <f t="shared" si="6"/>
        <v>1.6101520631963514E-2</v>
      </c>
      <c r="D73" s="3">
        <f t="shared" si="7"/>
        <v>0.82662999999999998</v>
      </c>
      <c r="E73" s="3">
        <f t="shared" si="8"/>
        <v>1.3309999999999933E-2</v>
      </c>
      <c r="F73">
        <v>89398</v>
      </c>
      <c r="G73" s="14">
        <f t="shared" si="9"/>
        <v>9.8995503255106376E-3</v>
      </c>
      <c r="H73" s="3">
        <f t="shared" si="10"/>
        <v>0.89398</v>
      </c>
      <c r="I73" s="3">
        <f t="shared" si="11"/>
        <v>8.8500000000000245E-3</v>
      </c>
    </row>
    <row r="74" spans="1:9" x14ac:dyDescent="0.2">
      <c r="A74" s="2">
        <v>72</v>
      </c>
      <c r="B74">
        <v>81332</v>
      </c>
      <c r="C74" s="3">
        <f t="shared" si="6"/>
        <v>1.7766684699749177E-2</v>
      </c>
      <c r="D74" s="3">
        <f t="shared" si="7"/>
        <v>0.81332000000000004</v>
      </c>
      <c r="E74" s="3">
        <f t="shared" si="8"/>
        <v>1.4450000000000074E-2</v>
      </c>
      <c r="F74">
        <v>88513</v>
      </c>
      <c r="G74" s="14">
        <f t="shared" si="9"/>
        <v>1.098143775490606E-2</v>
      </c>
      <c r="H74" s="3">
        <f t="shared" si="10"/>
        <v>0.88512999999999997</v>
      </c>
      <c r="I74" s="3">
        <f t="shared" si="11"/>
        <v>9.7199999999999509E-3</v>
      </c>
    </row>
    <row r="75" spans="1:9" x14ac:dyDescent="0.2">
      <c r="A75" s="2">
        <v>73</v>
      </c>
      <c r="B75">
        <v>79887</v>
      </c>
      <c r="C75" s="3">
        <f t="shared" si="6"/>
        <v>1.964024184160126E-2</v>
      </c>
      <c r="D75" s="3">
        <f t="shared" si="7"/>
        <v>0.79886999999999997</v>
      </c>
      <c r="E75" s="3">
        <f t="shared" si="8"/>
        <v>1.5689999999999982E-2</v>
      </c>
      <c r="F75">
        <v>87541</v>
      </c>
      <c r="G75" s="14">
        <f t="shared" si="9"/>
        <v>1.222284415302544E-2</v>
      </c>
      <c r="H75" s="3">
        <f t="shared" si="10"/>
        <v>0.87541000000000002</v>
      </c>
      <c r="I75" s="3">
        <f t="shared" si="11"/>
        <v>1.0700000000000043E-2</v>
      </c>
    </row>
    <row r="76" spans="1:9" x14ac:dyDescent="0.2">
      <c r="A76" s="2">
        <v>74</v>
      </c>
      <c r="B76">
        <v>78318</v>
      </c>
      <c r="C76" s="3">
        <f t="shared" si="6"/>
        <v>2.1821292678566868E-2</v>
      </c>
      <c r="D76" s="3">
        <f t="shared" si="7"/>
        <v>0.78317999999999999</v>
      </c>
      <c r="E76" s="3">
        <f t="shared" si="8"/>
        <v>1.7089999999999939E-2</v>
      </c>
      <c r="F76">
        <v>86471</v>
      </c>
      <c r="G76" s="14">
        <f t="shared" si="9"/>
        <v>1.3680887233870315E-2</v>
      </c>
      <c r="H76" s="3">
        <f t="shared" si="10"/>
        <v>0.86470999999999998</v>
      </c>
      <c r="I76" s="3">
        <f t="shared" si="11"/>
        <v>1.1830000000000007E-2</v>
      </c>
    </row>
    <row r="77" spans="1:9" x14ac:dyDescent="0.2">
      <c r="A77" s="2">
        <v>75</v>
      </c>
      <c r="B77">
        <v>76609</v>
      </c>
      <c r="C77" s="3">
        <f t="shared" si="6"/>
        <v>2.4318291584539676E-2</v>
      </c>
      <c r="D77" s="3">
        <f t="shared" si="7"/>
        <v>0.76609000000000005</v>
      </c>
      <c r="E77" s="3">
        <f t="shared" si="8"/>
        <v>1.8630000000000035E-2</v>
      </c>
      <c r="F77">
        <v>85288</v>
      </c>
      <c r="G77" s="14">
        <f t="shared" si="9"/>
        <v>1.5418347246974955E-2</v>
      </c>
      <c r="H77" s="3">
        <f t="shared" si="10"/>
        <v>0.85287999999999997</v>
      </c>
      <c r="I77" s="3">
        <f t="shared" si="11"/>
        <v>1.3149999999999995E-2</v>
      </c>
    </row>
    <row r="78" spans="1:9" x14ac:dyDescent="0.2">
      <c r="A78" s="2">
        <v>76</v>
      </c>
      <c r="B78">
        <v>74746</v>
      </c>
      <c r="C78" s="3">
        <f t="shared" si="6"/>
        <v>2.7212158510154391E-2</v>
      </c>
      <c r="D78" s="3">
        <f t="shared" si="7"/>
        <v>0.74746000000000001</v>
      </c>
      <c r="E78" s="3">
        <f t="shared" si="8"/>
        <v>2.0340000000000025E-2</v>
      </c>
      <c r="F78">
        <v>83973</v>
      </c>
      <c r="G78" s="14">
        <f t="shared" si="9"/>
        <v>1.7446083860288425E-2</v>
      </c>
      <c r="H78" s="3">
        <f t="shared" si="10"/>
        <v>0.83972999999999998</v>
      </c>
      <c r="I78" s="3">
        <f t="shared" si="11"/>
        <v>1.4649999999999941E-2</v>
      </c>
    </row>
    <row r="79" spans="1:9" x14ac:dyDescent="0.2">
      <c r="A79" s="2">
        <v>77</v>
      </c>
      <c r="B79">
        <v>72712</v>
      </c>
      <c r="C79" s="3">
        <f t="shared" si="6"/>
        <v>3.0517658708328749E-2</v>
      </c>
      <c r="D79" s="3">
        <f t="shared" si="7"/>
        <v>0.72711999999999999</v>
      </c>
      <c r="E79" s="3">
        <f t="shared" si="8"/>
        <v>2.2190000000000043E-2</v>
      </c>
      <c r="F79">
        <v>82508</v>
      </c>
      <c r="G79" s="14">
        <f t="shared" si="9"/>
        <v>1.9840500315120958E-2</v>
      </c>
      <c r="H79" s="3">
        <f t="shared" si="10"/>
        <v>0.82508000000000004</v>
      </c>
      <c r="I79" s="3">
        <f t="shared" si="11"/>
        <v>1.6369999999999996E-2</v>
      </c>
    </row>
    <row r="80" spans="1:9" x14ac:dyDescent="0.2">
      <c r="A80" s="2">
        <v>78</v>
      </c>
      <c r="B80">
        <v>70493</v>
      </c>
      <c r="C80" s="3">
        <f t="shared" si="6"/>
        <v>3.4301278141092024E-2</v>
      </c>
      <c r="D80" s="3">
        <f t="shared" si="7"/>
        <v>0.70492999999999995</v>
      </c>
      <c r="E80" s="3">
        <f t="shared" si="8"/>
        <v>2.4179999999999979E-2</v>
      </c>
      <c r="F80">
        <v>80871</v>
      </c>
      <c r="G80" s="14">
        <f t="shared" si="9"/>
        <v>2.2628630782357086E-2</v>
      </c>
      <c r="H80" s="3">
        <f t="shared" si="10"/>
        <v>0.80871000000000004</v>
      </c>
      <c r="I80" s="3">
        <f t="shared" si="11"/>
        <v>1.8300000000000094E-2</v>
      </c>
    </row>
    <row r="81" spans="1:9" x14ac:dyDescent="0.2">
      <c r="A81" s="2">
        <v>79</v>
      </c>
      <c r="B81">
        <v>68075</v>
      </c>
      <c r="C81" s="3">
        <f t="shared" si="6"/>
        <v>3.8604480352552331E-2</v>
      </c>
      <c r="D81" s="3">
        <f t="shared" si="7"/>
        <v>0.68074999999999997</v>
      </c>
      <c r="E81" s="3">
        <f t="shared" si="8"/>
        <v>2.627999999999997E-2</v>
      </c>
      <c r="F81">
        <v>79041</v>
      </c>
      <c r="G81" s="14">
        <f t="shared" si="9"/>
        <v>2.5872648372363711E-2</v>
      </c>
      <c r="H81" s="3">
        <f t="shared" si="10"/>
        <v>0.79040999999999995</v>
      </c>
      <c r="I81" s="3">
        <f t="shared" si="11"/>
        <v>2.0449999999999968E-2</v>
      </c>
    </row>
    <row r="82" spans="1:9" x14ac:dyDescent="0.2">
      <c r="A82" s="2">
        <v>80</v>
      </c>
      <c r="B82">
        <v>65447</v>
      </c>
      <c r="C82" s="3">
        <f t="shared" si="6"/>
        <v>4.3485568475254789E-2</v>
      </c>
      <c r="D82" s="3">
        <f t="shared" si="7"/>
        <v>0.65447</v>
      </c>
      <c r="E82" s="3">
        <f t="shared" si="8"/>
        <v>2.8460000000000041E-2</v>
      </c>
      <c r="F82">
        <v>76996</v>
      </c>
      <c r="G82" s="14">
        <f t="shared" si="9"/>
        <v>2.9585952517013871E-2</v>
      </c>
      <c r="H82" s="3">
        <f t="shared" si="10"/>
        <v>0.76995999999999998</v>
      </c>
      <c r="I82" s="3">
        <f t="shared" si="11"/>
        <v>2.2780000000000022E-2</v>
      </c>
    </row>
    <row r="83" spans="1:9" x14ac:dyDescent="0.2">
      <c r="A83" s="2">
        <v>81</v>
      </c>
      <c r="B83">
        <v>62601</v>
      </c>
      <c r="C83" s="3">
        <f t="shared" si="6"/>
        <v>4.8960879219181803E-2</v>
      </c>
      <c r="D83" s="3">
        <f t="shared" si="7"/>
        <v>0.62600999999999996</v>
      </c>
      <c r="E83" s="3">
        <f t="shared" si="8"/>
        <v>3.0649999999999955E-2</v>
      </c>
      <c r="F83">
        <v>74718</v>
      </c>
      <c r="G83" s="14">
        <f t="shared" si="9"/>
        <v>3.3860649374983273E-2</v>
      </c>
      <c r="H83" s="3">
        <f t="shared" si="10"/>
        <v>0.74717999999999996</v>
      </c>
      <c r="I83" s="3">
        <f t="shared" si="11"/>
        <v>2.5299999999999989E-2</v>
      </c>
    </row>
    <row r="84" spans="1:9" x14ac:dyDescent="0.2">
      <c r="A84" s="2">
        <v>82</v>
      </c>
      <c r="B84">
        <v>59536</v>
      </c>
      <c r="C84" s="3">
        <f t="shared" si="6"/>
        <v>5.5227089492072022E-2</v>
      </c>
      <c r="D84" s="3">
        <f t="shared" si="7"/>
        <v>0.59536</v>
      </c>
      <c r="E84" s="3">
        <f t="shared" si="8"/>
        <v>3.288000000000002E-2</v>
      </c>
      <c r="F84">
        <v>72188</v>
      </c>
      <c r="G84" s="14">
        <f t="shared" si="9"/>
        <v>3.8704493821687815E-2</v>
      </c>
      <c r="H84" s="3">
        <f t="shared" si="10"/>
        <v>0.72187999999999997</v>
      </c>
      <c r="I84" s="3">
        <f t="shared" si="11"/>
        <v>2.7939999999999965E-2</v>
      </c>
    </row>
    <row r="85" spans="1:9" x14ac:dyDescent="0.2">
      <c r="A85" s="2">
        <v>83</v>
      </c>
      <c r="B85">
        <v>56248</v>
      </c>
      <c r="C85" s="3">
        <f t="shared" si="6"/>
        <v>6.2331105105959322E-2</v>
      </c>
      <c r="D85" s="3">
        <f t="shared" si="7"/>
        <v>0.56247999999999998</v>
      </c>
      <c r="E85" s="3">
        <f t="shared" si="8"/>
        <v>3.505999999999998E-2</v>
      </c>
      <c r="F85">
        <v>69394</v>
      </c>
      <c r="G85" s="14">
        <f t="shared" si="9"/>
        <v>4.4312188373634605E-2</v>
      </c>
      <c r="H85" s="3">
        <f t="shared" si="10"/>
        <v>0.69394</v>
      </c>
      <c r="I85" s="3">
        <f t="shared" si="11"/>
        <v>3.0750000000000055E-2</v>
      </c>
    </row>
    <row r="86" spans="1:9" x14ac:dyDescent="0.2">
      <c r="A86" s="2">
        <v>84</v>
      </c>
      <c r="B86">
        <v>52742</v>
      </c>
      <c r="C86" s="3">
        <f t="shared" si="6"/>
        <v>7.0475143149671987E-2</v>
      </c>
      <c r="D86" s="3">
        <f t="shared" si="7"/>
        <v>0.52742</v>
      </c>
      <c r="E86" s="3">
        <f t="shared" si="8"/>
        <v>3.7169999999999981E-2</v>
      </c>
      <c r="F86">
        <v>66319</v>
      </c>
      <c r="G86" s="14">
        <f t="shared" si="9"/>
        <v>5.083007886126148E-2</v>
      </c>
      <c r="H86" s="3">
        <f t="shared" si="10"/>
        <v>0.66318999999999995</v>
      </c>
      <c r="I86" s="3">
        <f t="shared" si="11"/>
        <v>3.3709999999999907E-2</v>
      </c>
    </row>
    <row r="87" spans="1:9" x14ac:dyDescent="0.2">
      <c r="A87" s="2">
        <v>85</v>
      </c>
      <c r="B87">
        <v>49025</v>
      </c>
      <c r="C87" s="3">
        <f t="shared" si="6"/>
        <v>7.9755226925038239E-2</v>
      </c>
      <c r="D87" s="3">
        <f t="shared" si="7"/>
        <v>0.49025000000000002</v>
      </c>
      <c r="E87" s="3">
        <f t="shared" si="8"/>
        <v>3.9100000000000024E-2</v>
      </c>
      <c r="F87">
        <v>62948</v>
      </c>
      <c r="G87" s="14">
        <f t="shared" si="9"/>
        <v>5.8429179640338058E-2</v>
      </c>
      <c r="H87" s="3">
        <f t="shared" si="10"/>
        <v>0.62948000000000004</v>
      </c>
      <c r="I87" s="3">
        <f t="shared" si="11"/>
        <v>3.6780000000000035E-2</v>
      </c>
    </row>
    <row r="88" spans="1:9" x14ac:dyDescent="0.2">
      <c r="A88" s="2">
        <v>86</v>
      </c>
      <c r="B88">
        <v>45115</v>
      </c>
      <c r="C88" s="3">
        <f t="shared" si="6"/>
        <v>9.0258228970408957E-2</v>
      </c>
      <c r="D88" s="3">
        <f t="shared" si="7"/>
        <v>0.45115</v>
      </c>
      <c r="E88" s="3">
        <f t="shared" si="8"/>
        <v>4.0719999999999978E-2</v>
      </c>
      <c r="F88">
        <v>59270</v>
      </c>
      <c r="G88" s="14">
        <f t="shared" si="9"/>
        <v>6.7268432596591862E-2</v>
      </c>
      <c r="H88" s="3">
        <f t="shared" si="10"/>
        <v>0.5927</v>
      </c>
      <c r="I88" s="3">
        <f t="shared" si="11"/>
        <v>3.9869999999999961E-2</v>
      </c>
    </row>
    <row r="89" spans="1:9" x14ac:dyDescent="0.2">
      <c r="A89" s="2">
        <v>87</v>
      </c>
      <c r="B89">
        <v>41043</v>
      </c>
      <c r="C89" s="3">
        <f t="shared" si="6"/>
        <v>0.10213678337353507</v>
      </c>
      <c r="D89" s="3">
        <f t="shared" si="7"/>
        <v>0.41043000000000002</v>
      </c>
      <c r="E89" s="3">
        <f t="shared" si="8"/>
        <v>4.1920000000000013E-2</v>
      </c>
      <c r="F89">
        <v>55283</v>
      </c>
      <c r="G89" s="14">
        <f t="shared" si="9"/>
        <v>7.751026536186531E-2</v>
      </c>
      <c r="H89" s="3">
        <f t="shared" si="10"/>
        <v>0.55283000000000004</v>
      </c>
      <c r="I89" s="3">
        <f t="shared" si="11"/>
        <v>4.2850000000000055E-2</v>
      </c>
    </row>
    <row r="90" spans="1:9" x14ac:dyDescent="0.2">
      <c r="A90" s="2">
        <v>88</v>
      </c>
      <c r="B90">
        <v>36851</v>
      </c>
      <c r="C90" s="3">
        <f t="shared" si="6"/>
        <v>0.11541070798621475</v>
      </c>
      <c r="D90" s="3">
        <f t="shared" si="7"/>
        <v>0.36851</v>
      </c>
      <c r="E90" s="3">
        <f t="shared" si="8"/>
        <v>4.2530000000000012E-2</v>
      </c>
      <c r="F90">
        <v>50998</v>
      </c>
      <c r="G90" s="14">
        <f t="shared" si="9"/>
        <v>8.9179967841876151E-2</v>
      </c>
      <c r="H90" s="3">
        <f t="shared" si="10"/>
        <v>0.50997999999999999</v>
      </c>
      <c r="I90" s="3">
        <f t="shared" si="11"/>
        <v>4.5479999999999965E-2</v>
      </c>
    </row>
    <row r="91" spans="1:9" x14ac:dyDescent="0.2">
      <c r="A91" s="2">
        <v>89</v>
      </c>
      <c r="B91">
        <v>32598</v>
      </c>
      <c r="C91" s="3">
        <f t="shared" si="6"/>
        <v>0.13022271304988037</v>
      </c>
      <c r="D91" s="3">
        <f t="shared" si="7"/>
        <v>0.32597999999999999</v>
      </c>
      <c r="E91" s="3">
        <f t="shared" si="8"/>
        <v>4.2449999999999988E-2</v>
      </c>
      <c r="F91">
        <v>46450</v>
      </c>
      <c r="G91" s="14">
        <f t="shared" si="9"/>
        <v>0.10232508073196986</v>
      </c>
      <c r="H91" s="3">
        <f t="shared" si="10"/>
        <v>0.46450000000000002</v>
      </c>
      <c r="I91" s="3">
        <f t="shared" si="11"/>
        <v>4.7530000000000017E-2</v>
      </c>
    </row>
    <row r="92" spans="1:9" x14ac:dyDescent="0.2">
      <c r="A92" s="2">
        <v>90</v>
      </c>
      <c r="B92">
        <v>28353</v>
      </c>
      <c r="C92" s="3">
        <f t="shared" si="6"/>
        <v>0.14643953020844355</v>
      </c>
      <c r="D92" s="3">
        <f t="shared" si="7"/>
        <v>0.28353</v>
      </c>
      <c r="E92" s="3">
        <f t="shared" si="8"/>
        <v>4.1520000000000001E-2</v>
      </c>
      <c r="F92">
        <v>41697</v>
      </c>
      <c r="G92" s="14">
        <f t="shared" si="9"/>
        <v>0.11674700817804638</v>
      </c>
      <c r="H92" s="3">
        <f t="shared" si="10"/>
        <v>0.41697000000000001</v>
      </c>
      <c r="I92" s="3">
        <f t="shared" si="11"/>
        <v>4.8680000000000001E-2</v>
      </c>
    </row>
    <row r="93" spans="1:9" x14ac:dyDescent="0.2">
      <c r="A93" s="2">
        <v>91</v>
      </c>
      <c r="B93">
        <v>24201</v>
      </c>
      <c r="C93" s="3">
        <f t="shared" si="6"/>
        <v>0.16350564026279907</v>
      </c>
      <c r="D93" s="3">
        <f t="shared" si="7"/>
        <v>0.24201</v>
      </c>
      <c r="E93" s="3">
        <f t="shared" si="8"/>
        <v>3.9569999999999994E-2</v>
      </c>
      <c r="F93">
        <v>36829</v>
      </c>
      <c r="G93" s="14">
        <f t="shared" si="9"/>
        <v>0.13236851394281679</v>
      </c>
      <c r="H93" s="3">
        <f t="shared" si="10"/>
        <v>0.36829000000000001</v>
      </c>
      <c r="I93" s="3">
        <f t="shared" si="11"/>
        <v>4.8750000000000016E-2</v>
      </c>
    </row>
    <row r="94" spans="1:9" x14ac:dyDescent="0.2">
      <c r="A94" s="2">
        <v>92</v>
      </c>
      <c r="B94">
        <v>20244</v>
      </c>
      <c r="C94" s="3">
        <f t="shared" si="6"/>
        <v>0.18069551472041098</v>
      </c>
      <c r="D94" s="3">
        <f t="shared" si="7"/>
        <v>0.20244000000000001</v>
      </c>
      <c r="E94" s="3">
        <f t="shared" si="8"/>
        <v>3.6580000000000001E-2</v>
      </c>
      <c r="F94">
        <v>31954</v>
      </c>
      <c r="G94" s="14">
        <f t="shared" si="9"/>
        <v>0.14915190586468047</v>
      </c>
      <c r="H94" s="3">
        <f t="shared" si="10"/>
        <v>0.31953999999999999</v>
      </c>
      <c r="I94" s="3">
        <f t="shared" si="11"/>
        <v>4.765999999999998E-2</v>
      </c>
    </row>
    <row r="95" spans="1:9" x14ac:dyDescent="0.2">
      <c r="A95" s="2">
        <v>93</v>
      </c>
      <c r="B95">
        <v>16586</v>
      </c>
      <c r="C95" s="3">
        <f t="shared" si="6"/>
        <v>0.19745568551790668</v>
      </c>
      <c r="D95" s="3">
        <f t="shared" si="7"/>
        <v>0.16586000000000001</v>
      </c>
      <c r="E95" s="3">
        <f t="shared" si="8"/>
        <v>3.2750000000000001E-2</v>
      </c>
      <c r="F95">
        <v>27188</v>
      </c>
      <c r="G95" s="14">
        <f t="shared" si="9"/>
        <v>0.16691187288509637</v>
      </c>
      <c r="H95" s="3">
        <f t="shared" si="10"/>
        <v>0.27188000000000001</v>
      </c>
      <c r="I95" s="3">
        <f t="shared" si="11"/>
        <v>4.5380000000000004E-2</v>
      </c>
    </row>
    <row r="96" spans="1:9" x14ac:dyDescent="0.2">
      <c r="A96" s="2">
        <v>94</v>
      </c>
      <c r="B96">
        <v>13311</v>
      </c>
      <c r="C96" s="3">
        <f t="shared" si="6"/>
        <v>0.21403350612275562</v>
      </c>
      <c r="D96" s="3">
        <f t="shared" si="7"/>
        <v>0.13311000000000001</v>
      </c>
      <c r="E96" s="3">
        <f t="shared" si="8"/>
        <v>2.8490000000000001E-2</v>
      </c>
      <c r="F96">
        <v>22650</v>
      </c>
      <c r="G96" s="14">
        <f t="shared" si="9"/>
        <v>0.18551876379690949</v>
      </c>
      <c r="H96" s="3">
        <f t="shared" si="10"/>
        <v>0.22650000000000001</v>
      </c>
      <c r="I96" s="3">
        <f t="shared" si="11"/>
        <v>4.2020000000000002E-2</v>
      </c>
    </row>
    <row r="97" spans="1:9" x14ac:dyDescent="0.2">
      <c r="A97" s="2">
        <v>95</v>
      </c>
      <c r="B97">
        <v>10462</v>
      </c>
      <c r="C97" s="3">
        <f t="shared" si="6"/>
        <v>0.23035748422863697</v>
      </c>
      <c r="D97" s="3">
        <f t="shared" si="7"/>
        <v>0.10462</v>
      </c>
      <c r="E97" s="3">
        <f t="shared" si="8"/>
        <v>2.410000000000001E-2</v>
      </c>
      <c r="F97">
        <v>18448</v>
      </c>
      <c r="G97" s="14">
        <f t="shared" si="9"/>
        <v>0.20500867302688638</v>
      </c>
      <c r="H97" s="3">
        <f t="shared" si="10"/>
        <v>0.18448000000000001</v>
      </c>
      <c r="I97" s="3">
        <f t="shared" si="11"/>
        <v>3.7819999999999993E-2</v>
      </c>
    </row>
    <row r="98" spans="1:9" x14ac:dyDescent="0.2">
      <c r="A98" s="2">
        <v>96</v>
      </c>
      <c r="B98">
        <v>8052</v>
      </c>
      <c r="C98" s="3">
        <f t="shared" si="6"/>
        <v>0.24689518132141083</v>
      </c>
      <c r="D98" s="3">
        <f t="shared" si="7"/>
        <v>8.0519999999999994E-2</v>
      </c>
      <c r="E98" s="3">
        <f t="shared" si="8"/>
        <v>1.9879999999999995E-2</v>
      </c>
      <c r="F98">
        <v>14666</v>
      </c>
      <c r="G98" s="14">
        <f t="shared" si="9"/>
        <v>0.2249420428201282</v>
      </c>
      <c r="H98" s="3">
        <f t="shared" si="10"/>
        <v>0.14666000000000001</v>
      </c>
      <c r="I98" s="3">
        <f t="shared" si="11"/>
        <v>3.2990000000000019E-2</v>
      </c>
    </row>
    <row r="99" spans="1:9" x14ac:dyDescent="0.2">
      <c r="A99" s="2">
        <v>97</v>
      </c>
      <c r="B99">
        <v>6064</v>
      </c>
      <c r="C99" s="3">
        <f t="shared" si="6"/>
        <v>0.26385224274406333</v>
      </c>
      <c r="D99" s="3">
        <f t="shared" si="7"/>
        <v>6.0639999999999999E-2</v>
      </c>
      <c r="E99" s="3">
        <f t="shared" si="8"/>
        <v>1.6E-2</v>
      </c>
      <c r="F99">
        <v>11367</v>
      </c>
      <c r="G99" s="14">
        <f t="shared" si="9"/>
        <v>0.24509545174628311</v>
      </c>
      <c r="H99" s="3">
        <f t="shared" si="10"/>
        <v>0.11366999999999999</v>
      </c>
      <c r="I99" s="3">
        <f t="shared" si="11"/>
        <v>2.7859999999999996E-2</v>
      </c>
    </row>
    <row r="100" spans="1:9" x14ac:dyDescent="0.2">
      <c r="A100" s="2">
        <v>98</v>
      </c>
      <c r="B100">
        <v>4464</v>
      </c>
      <c r="C100" s="3">
        <f t="shared" si="6"/>
        <v>0.28158602150537637</v>
      </c>
      <c r="D100" s="3">
        <f t="shared" si="7"/>
        <v>4.4639999999999999E-2</v>
      </c>
      <c r="E100" s="3">
        <f t="shared" si="8"/>
        <v>1.2569999999999998E-2</v>
      </c>
      <c r="F100">
        <v>8581</v>
      </c>
      <c r="G100" s="14">
        <f t="shared" si="9"/>
        <v>0.2646544691760867</v>
      </c>
      <c r="H100" s="3">
        <f t="shared" si="10"/>
        <v>8.5809999999999997E-2</v>
      </c>
      <c r="I100" s="3">
        <f t="shared" si="11"/>
        <v>2.2709999999999994E-2</v>
      </c>
    </row>
    <row r="101" spans="1:9" x14ac:dyDescent="0.2">
      <c r="A101" s="2">
        <v>99</v>
      </c>
      <c r="B101">
        <v>3207</v>
      </c>
      <c r="C101" s="3">
        <f t="shared" si="6"/>
        <v>0.29996881821016524</v>
      </c>
      <c r="D101" s="3">
        <f t="shared" si="7"/>
        <v>3.2070000000000001E-2</v>
      </c>
      <c r="E101" s="3">
        <f t="shared" si="8"/>
        <v>9.6200000000000001E-3</v>
      </c>
      <c r="F101">
        <v>6310</v>
      </c>
      <c r="G101" s="14">
        <f t="shared" si="9"/>
        <v>0.28383518225039622</v>
      </c>
      <c r="H101" s="3">
        <f t="shared" si="10"/>
        <v>6.3100000000000003E-2</v>
      </c>
      <c r="I101" s="3">
        <f t="shared" si="11"/>
        <v>1.7910000000000002E-2</v>
      </c>
    </row>
    <row r="102" spans="1:9" x14ac:dyDescent="0.2">
      <c r="A102" s="2">
        <v>100</v>
      </c>
      <c r="B102">
        <v>2245</v>
      </c>
      <c r="C102" s="3">
        <f t="shared" si="6"/>
        <v>0.31804008908685971</v>
      </c>
      <c r="D102" s="3">
        <f t="shared" si="7"/>
        <v>2.2450000000000001E-2</v>
      </c>
      <c r="E102" s="3">
        <f t="shared" si="8"/>
        <v>7.1400000000000005E-3</v>
      </c>
      <c r="F102">
        <v>4519</v>
      </c>
      <c r="G102" s="14">
        <f t="shared" si="9"/>
        <v>0.30205797742863466</v>
      </c>
      <c r="H102" s="3">
        <f t="shared" si="10"/>
        <v>4.5190000000000001E-2</v>
      </c>
      <c r="I102" s="3">
        <f t="shared" si="11"/>
        <v>1.3650000000000002E-2</v>
      </c>
    </row>
    <row r="103" spans="1:9" x14ac:dyDescent="0.2">
      <c r="A103" s="2">
        <v>101</v>
      </c>
      <c r="B103">
        <v>1531</v>
      </c>
      <c r="C103" s="3">
        <f t="shared" si="6"/>
        <v>1</v>
      </c>
      <c r="D103" s="3">
        <f t="shared" si="7"/>
        <v>1.5310000000000001E-2</v>
      </c>
      <c r="E103" s="3">
        <f t="shared" si="8"/>
        <v>1.5310000000000001E-2</v>
      </c>
      <c r="F103">
        <v>3154</v>
      </c>
      <c r="G103" s="14">
        <f t="shared" si="9"/>
        <v>1</v>
      </c>
      <c r="H103" s="3">
        <f t="shared" si="10"/>
        <v>3.1539999999999999E-2</v>
      </c>
      <c r="I103" s="3">
        <f t="shared" si="11"/>
        <v>3.1539999999999999E-2</v>
      </c>
    </row>
    <row r="104" spans="1:9" x14ac:dyDescent="0.2">
      <c r="B104"/>
      <c r="C104" s="3"/>
      <c r="D104" s="3"/>
      <c r="E104" s="3"/>
      <c r="F104"/>
      <c r="G104" s="14"/>
      <c r="H104" s="3"/>
      <c r="I104" s="3"/>
    </row>
    <row r="105" spans="1:9" x14ac:dyDescent="0.2">
      <c r="B105"/>
      <c r="C105" s="3"/>
      <c r="D105" s="3"/>
      <c r="E105" s="3"/>
      <c r="F105"/>
      <c r="G105" s="14"/>
      <c r="H105" s="3"/>
      <c r="I105" s="3"/>
    </row>
    <row r="106" spans="1:9" x14ac:dyDescent="0.2">
      <c r="B106"/>
      <c r="C106" s="3"/>
      <c r="D106" s="3"/>
      <c r="E106" s="3"/>
      <c r="F106"/>
      <c r="G106" s="14"/>
      <c r="H106" s="3"/>
      <c r="I106" s="3"/>
    </row>
    <row r="107" spans="1:9" x14ac:dyDescent="0.2">
      <c r="B107"/>
      <c r="C107" s="3"/>
      <c r="D107" s="3"/>
      <c r="E107" s="3"/>
      <c r="F107"/>
      <c r="G107" s="14"/>
      <c r="H107" s="3"/>
      <c r="I107" s="3"/>
    </row>
    <row r="108" spans="1:9" x14ac:dyDescent="0.2">
      <c r="B108"/>
      <c r="C108" s="3"/>
      <c r="D108" s="3"/>
      <c r="E108" s="3"/>
      <c r="F108"/>
      <c r="G108" s="14"/>
      <c r="H108" s="3"/>
      <c r="I108" s="3"/>
    </row>
    <row r="109" spans="1:9" x14ac:dyDescent="0.2">
      <c r="B109"/>
      <c r="C109" s="3"/>
      <c r="D109" s="3"/>
      <c r="E109" s="3"/>
      <c r="F109"/>
      <c r="G109" s="14"/>
      <c r="H109" s="3"/>
      <c r="I109" s="3"/>
    </row>
    <row r="110" spans="1:9" x14ac:dyDescent="0.2">
      <c r="B110"/>
      <c r="C110" s="3"/>
      <c r="D110" s="3"/>
      <c r="E110" s="3"/>
      <c r="F110"/>
      <c r="G110" s="14"/>
      <c r="H110" s="3"/>
      <c r="I110" s="3"/>
    </row>
    <row r="111" spans="1:9" x14ac:dyDescent="0.2">
      <c r="B111"/>
      <c r="C111" s="3"/>
      <c r="D111" s="3"/>
      <c r="E111" s="3"/>
      <c r="F111"/>
      <c r="G111" s="14"/>
      <c r="H111" s="3"/>
      <c r="I111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1"/>
  <sheetViews>
    <sheetView topLeftCell="J1" zoomScale="293" workbookViewId="0">
      <selection activeCell="M3" sqref="M3"/>
    </sheetView>
  </sheetViews>
  <sheetFormatPr baseColWidth="10" defaultColWidth="8.83203125" defaultRowHeight="16" x14ac:dyDescent="0.2"/>
  <cols>
    <col min="1" max="1" width="8.83203125" style="6"/>
    <col min="2" max="2" width="15.83203125" style="6" bestFit="1" customWidth="1"/>
    <col min="3" max="3" width="12.5" style="6" customWidth="1"/>
    <col min="4" max="4" width="11.1640625" style="6" customWidth="1"/>
    <col min="5" max="5" width="12.33203125" style="6" customWidth="1"/>
    <col min="6" max="6" width="10.6640625" style="6" customWidth="1"/>
    <col min="7" max="7" width="14.6640625" style="6" bestFit="1" customWidth="1"/>
    <col min="8" max="9" width="12.1640625" style="6" bestFit="1" customWidth="1"/>
    <col min="10" max="10" width="13.6640625" style="6" bestFit="1" customWidth="1"/>
    <col min="11" max="11" width="8.83203125" style="6"/>
    <col min="12" max="12" width="15.6640625" style="6" bestFit="1" customWidth="1"/>
    <col min="13" max="13" width="15.1640625" style="6" bestFit="1" customWidth="1"/>
    <col min="14" max="16" width="12.1640625" style="6" bestFit="1" customWidth="1"/>
    <col min="17" max="19" width="8.83203125" style="6"/>
    <col min="20" max="20" width="14.33203125" style="6" customWidth="1"/>
    <col min="21" max="21" width="8.83203125" style="6"/>
    <col min="22" max="23" width="14.1640625" style="6" customWidth="1"/>
    <col min="24" max="25" width="15.1640625" style="6" customWidth="1"/>
    <col min="26" max="16384" width="8.83203125" style="6"/>
  </cols>
  <sheetData>
    <row r="1" spans="1:25" x14ac:dyDescent="0.2">
      <c r="A1" s="11" t="s">
        <v>27</v>
      </c>
      <c r="B1" s="11" t="s">
        <v>28</v>
      </c>
      <c r="C1" s="11" t="s">
        <v>29</v>
      </c>
      <c r="D1" s="16" t="s">
        <v>30</v>
      </c>
      <c r="E1" s="11" t="s">
        <v>50</v>
      </c>
      <c r="F1" s="11"/>
      <c r="G1" s="11" t="s">
        <v>31</v>
      </c>
      <c r="H1" s="11" t="s">
        <v>32</v>
      </c>
      <c r="I1" s="11"/>
      <c r="J1" s="16" t="s">
        <v>33</v>
      </c>
      <c r="L1" s="13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R1" s="22" t="s">
        <v>39</v>
      </c>
      <c r="S1" s="22" t="s">
        <v>1</v>
      </c>
      <c r="T1" s="22" t="s">
        <v>35</v>
      </c>
      <c r="V1" s="13" t="s">
        <v>51</v>
      </c>
      <c r="W1" s="13" t="s">
        <v>52</v>
      </c>
      <c r="X1" s="13" t="s">
        <v>53</v>
      </c>
      <c r="Y1" s="13" t="s">
        <v>54</v>
      </c>
    </row>
    <row r="2" spans="1:25" x14ac:dyDescent="0.2">
      <c r="A2" s="6">
        <v>0</v>
      </c>
      <c r="B2" s="15">
        <f>1-(_xlfn.XLOOKUP(Inputs!$B$2+A2+1,LifeTables!A:A, LifeTables!B:B)/_xlfn.XLOOKUP(Inputs!$B$2+ A2,LifeTables!A:A, LifeTables!B:B))</f>
        <v>1.2479286430310266E-3</v>
      </c>
      <c r="C2" s="8">
        <f>(_xlfn.XLOOKUP(Inputs!$B$2+A2+1,LifeTables!A:A, LifeTables!B:B)/_xlfn.XLOOKUP(Inputs!$B$2+ A2,LifeTables!A:A, LifeTables!B:B))</f>
        <v>0.99875207135696897</v>
      </c>
      <c r="D2" s="8">
        <f>(_xlfn.XLOOKUP(Inputs!$B$2+A2,LifeTables!A:A, LifeTables!B:B)/_xlfn.XLOOKUP(Inputs!$B$2,LifeTables!A:A, LifeTables!B:B))</f>
        <v>1</v>
      </c>
      <c r="E2" s="8">
        <f>((_xlfn.XLOOKUP(Inputs!$B$2+A2,LifeTables!A:A, LifeTables!B:B)-_xlfn.XLOOKUP(Inputs!$B$2+A2+1,LifeTables!A:A, LifeTables!B:B))/_xlfn.XLOOKUP(Inputs!$B$2,LifeTables!A:A, LifeTables!B:B))</f>
        <v>1.2479286430310346E-3</v>
      </c>
      <c r="F2" s="8"/>
      <c r="G2" s="9">
        <f>Inputs!$B$4*((1+Inputs!$B$5)^A2)</f>
        <v>150000</v>
      </c>
      <c r="H2" s="8">
        <f>Inputs!$B$7^($A2+1)</f>
        <v>0.96153846153846145</v>
      </c>
      <c r="J2" s="10">
        <f>$G2*$E2*$H2</f>
        <v>179.98970812947613</v>
      </c>
      <c r="L2" s="6" cm="1">
        <f t="array" ref="L2">SUM(Inputs!$B$7^'Q2'!A2:A21*D2:D21)</f>
        <v>13.897062707142672</v>
      </c>
      <c r="M2" s="10">
        <f>SUM(J2:J21)</f>
        <v>6989.1363145423802</v>
      </c>
      <c r="N2" s="10" cm="1">
        <f t="array" ref="N2">Inputs!$B$8+Inputs!$B$9*SUMPRODUCT(D3:D21,Inputs!B7^'Q2'!A3:A21)</f>
        <v>5408.8250828570681</v>
      </c>
      <c r="O2" s="10">
        <f>(M2+N2)/L2</f>
        <v>892.12818986758043</v>
      </c>
      <c r="P2" s="10">
        <f>(M2+N2+Inputs!$B$10)/L2</f>
        <v>1395.8317528084176</v>
      </c>
      <c r="R2" s="23" t="s">
        <v>6</v>
      </c>
      <c r="S2" s="22">
        <v>0.03</v>
      </c>
      <c r="T2" s="24">
        <f>SUMPRODUCT(G2:G21,E2:E21,V2:V21)</f>
        <v>7902.4593575906547</v>
      </c>
      <c r="V2" s="6">
        <f>((1+$S$2)^(-1))^($A2+1)</f>
        <v>0.970873786407767</v>
      </c>
      <c r="W2" s="6">
        <f>((1+$S$3)^(-1))^($A2+1)</f>
        <v>0.95238095238095233</v>
      </c>
      <c r="X2" s="6">
        <f>Inputs!$B$4*((1+$S$4)^$A2)</f>
        <v>150000</v>
      </c>
      <c r="Y2" s="6">
        <f>Inputs!$B$4*((1+$S$5)^$A2)</f>
        <v>150000</v>
      </c>
    </row>
    <row r="3" spans="1:25" x14ac:dyDescent="0.2">
      <c r="A3" s="6">
        <v>1</v>
      </c>
      <c r="B3" s="15">
        <f>1-(_xlfn.XLOOKUP(Inputs!$B$2+A3+1,LifeTables!A:A, LifeTables!B:B)/_xlfn.XLOOKUP(Inputs!$B$2+ A3,LifeTables!A:A, LifeTables!B:B))</f>
        <v>1.3519049569848951E-3</v>
      </c>
      <c r="C3" s="8">
        <f>(_xlfn.XLOOKUP(Inputs!$B$2+A3+1,LifeTables!A:A, LifeTables!B:B)/_xlfn.XLOOKUP(Inputs!$B$2+ A3,LifeTables!A:A, LifeTables!B:B))</f>
        <v>0.9986480950430151</v>
      </c>
      <c r="D3" s="8">
        <f>(_xlfn.XLOOKUP(Inputs!$B$2+A3,LifeTables!A:A, LifeTables!B:B)/_xlfn.XLOOKUP(Inputs!$B$2,LifeTables!A:A, LifeTables!B:B))</f>
        <v>0.99875207135696897</v>
      </c>
      <c r="E3" s="8">
        <f>((_xlfn.XLOOKUP(Inputs!$B$2+A3,LifeTables!A:A, LifeTables!B:B)-_xlfn.XLOOKUP(Inputs!$B$2+A3+1,LifeTables!A:A, LifeTables!B:B))/_xlfn.XLOOKUP(Inputs!$B$2,LifeTables!A:A, LifeTables!B:B))</f>
        <v>1.3502178760663652E-3</v>
      </c>
      <c r="F3" s="8"/>
      <c r="G3" s="9">
        <f>Inputs!$B$4*((1+Inputs!$B$5)^A3)</f>
        <v>153750</v>
      </c>
      <c r="H3" s="8">
        <f>Inputs!$B$7^($A3+1)</f>
        <v>0.92455621301775126</v>
      </c>
      <c r="J3" s="10">
        <f t="shared" ref="J3:J21" si="0">$G3*$E3*$H3</f>
        <v>191.93417016013649</v>
      </c>
      <c r="R3" s="22" t="s">
        <v>6</v>
      </c>
      <c r="S3" s="22">
        <v>0.05</v>
      </c>
      <c r="T3" s="24">
        <f>SUMPRODUCT(G2:G21,E2:E21,W2:W21)</f>
        <v>6206.1602665116643</v>
      </c>
      <c r="V3" s="6">
        <f t="shared" ref="V3:V20" si="1">((1+$S$2)^(-1))^($A3+1)</f>
        <v>0.94259590913375435</v>
      </c>
      <c r="W3" s="6">
        <f t="shared" ref="W3:W22" si="2">((1+$S$3)^(-1))^($A3+1)</f>
        <v>0.90702947845804982</v>
      </c>
      <c r="X3" s="6">
        <f>Inputs!$B$4*((1+$S$4)^$A3)</f>
        <v>152249.99999999997</v>
      </c>
      <c r="Y3" s="6">
        <f>Inputs!$B$4*((1+$S$5)^$A3)</f>
        <v>155250</v>
      </c>
    </row>
    <row r="4" spans="1:25" x14ac:dyDescent="0.2">
      <c r="A4" s="6">
        <v>2</v>
      </c>
      <c r="B4" s="15">
        <f>1-(_xlfn.XLOOKUP(Inputs!$B$2+A4+1,LifeTables!A:A, LifeTables!B:B)/_xlfn.XLOOKUP(Inputs!$B$2+ A4,LifeTables!A:A, LifeTables!B:B))</f>
        <v>1.4460351971120611E-3</v>
      </c>
      <c r="C4" s="8">
        <f>(_xlfn.XLOOKUP(Inputs!$B$2+A4+1,LifeTables!A:A, LifeTables!B:B)/_xlfn.XLOOKUP(Inputs!$B$2+ A4,LifeTables!A:A, LifeTables!B:B))</f>
        <v>0.99855396480288794</v>
      </c>
      <c r="D4" s="8">
        <f>(_xlfn.XLOOKUP(Inputs!$B$2+A4,LifeTables!A:A, LifeTables!B:B)/_xlfn.XLOOKUP(Inputs!$B$2,LifeTables!A:A, LifeTables!B:B))</f>
        <v>0.9974018534809026</v>
      </c>
      <c r="E4" s="8">
        <f>((_xlfn.XLOOKUP(Inputs!$B$2+A4,LifeTables!A:A, LifeTables!B:B)-_xlfn.XLOOKUP(Inputs!$B$2+A4+1,LifeTables!A:A, LifeTables!B:B))/_xlfn.XLOOKUP(Inputs!$B$2,LifeTables!A:A, LifeTables!B:B))</f>
        <v>1.4422781857981628E-3</v>
      </c>
      <c r="F4" s="8"/>
      <c r="G4" s="9">
        <f>Inputs!$B$4*((1+Inputs!$B$5)^A4)</f>
        <v>157593.75</v>
      </c>
      <c r="H4" s="8">
        <f>Inputs!$B$7^($A4+1)</f>
        <v>0.88899635867091464</v>
      </c>
      <c r="J4" s="10">
        <f t="shared" si="0"/>
        <v>202.06356310018737</v>
      </c>
      <c r="R4" s="22" t="s">
        <v>5</v>
      </c>
      <c r="S4" s="22">
        <v>1.4999999999999999E-2</v>
      </c>
      <c r="T4" s="24">
        <f>SUMPRODUCT(X2:X21,H2:H21,E2:E21)</f>
        <v>6249.3039674862266</v>
      </c>
      <c r="V4" s="6">
        <f t="shared" si="1"/>
        <v>0.91514165935315961</v>
      </c>
      <c r="W4" s="6">
        <f t="shared" si="2"/>
        <v>0.86383759853147601</v>
      </c>
      <c r="X4" s="6">
        <f>Inputs!$B$4*((1+$S$4)^$A4)</f>
        <v>154533.74999999997</v>
      </c>
      <c r="Y4" s="6">
        <f>Inputs!$B$4*((1+$S$5)^$A4)</f>
        <v>160683.74999999997</v>
      </c>
    </row>
    <row r="5" spans="1:25" x14ac:dyDescent="0.2">
      <c r="A5" s="6">
        <v>3</v>
      </c>
      <c r="B5" s="15">
        <f>1-(_xlfn.XLOOKUP(Inputs!$B$2+A5+1,LifeTables!A:A, LifeTables!B:B)/_xlfn.XLOOKUP(Inputs!$B$2+ A5,LifeTables!A:A, LifeTables!B:B))</f>
        <v>1.5713742849220447E-3</v>
      </c>
      <c r="C5" s="8">
        <f>(_xlfn.XLOOKUP(Inputs!$B$2+A5+1,LifeTables!A:A, LifeTables!B:B)/_xlfn.XLOOKUP(Inputs!$B$2+ A5,LifeTables!A:A, LifeTables!B:B))</f>
        <v>0.99842862571507796</v>
      </c>
      <c r="D5" s="8">
        <f>(_xlfn.XLOOKUP(Inputs!$B$2+A5,LifeTables!A:A, LifeTables!B:B)/_xlfn.XLOOKUP(Inputs!$B$2,LifeTables!A:A, LifeTables!B:B))</f>
        <v>0.99595957529510448</v>
      </c>
      <c r="E5" s="8">
        <f>((_xlfn.XLOOKUP(Inputs!$B$2+A5,LifeTables!A:A, LifeTables!B:B)-_xlfn.XLOOKUP(Inputs!$B$2+A5+1,LifeTables!A:A, LifeTables!B:B))/_xlfn.XLOOKUP(Inputs!$B$2,LifeTables!A:A, LifeTables!B:B))</f>
        <v>1.5650252654405598E-3</v>
      </c>
      <c r="F5" s="8"/>
      <c r="G5" s="9">
        <f>Inputs!$B$4*((1+Inputs!$B$5)^A5)</f>
        <v>161533.59374999997</v>
      </c>
      <c r="H5" s="8">
        <f>Inputs!$B$7^($A5+1)</f>
        <v>0.85480419102972549</v>
      </c>
      <c r="J5" s="10">
        <f t="shared" si="0"/>
        <v>216.09805157656078</v>
      </c>
      <c r="R5" s="22" t="s">
        <v>5</v>
      </c>
      <c r="S5" s="22">
        <v>3.5000000000000003E-2</v>
      </c>
      <c r="T5" s="24">
        <f>SUMPRODUCT(Y2:Y21,H2:H21,E2:E21)</f>
        <v>7830.82836974375</v>
      </c>
      <c r="V5" s="6">
        <f t="shared" si="1"/>
        <v>0.88848704791568889</v>
      </c>
      <c r="W5" s="6">
        <f t="shared" si="2"/>
        <v>0.82270247479188185</v>
      </c>
      <c r="X5" s="6">
        <f>Inputs!$B$4*((1+$S$4)^$A5)</f>
        <v>156851.75624999995</v>
      </c>
      <c r="Y5" s="6">
        <f>Inputs!$B$4*((1+$S$5)^$A5)</f>
        <v>166307.68124999997</v>
      </c>
    </row>
    <row r="6" spans="1:25" x14ac:dyDescent="0.2">
      <c r="A6" s="6">
        <v>4</v>
      </c>
      <c r="B6" s="15">
        <f>1-(_xlfn.XLOOKUP(Inputs!$B$2+A6+1,LifeTables!A:A, LifeTables!B:B)/_xlfn.XLOOKUP(Inputs!$B$2+ A6,LifeTables!A:A, LifeTables!B:B))</f>
        <v>1.6972863990782905E-3</v>
      </c>
      <c r="C6" s="8">
        <f>(_xlfn.XLOOKUP(Inputs!$B$2+A6+1,LifeTables!A:A, LifeTables!B:B)/_xlfn.XLOOKUP(Inputs!$B$2+ A6,LifeTables!A:A, LifeTables!B:B))</f>
        <v>0.99830271360092171</v>
      </c>
      <c r="D6" s="8">
        <f>(_xlfn.XLOOKUP(Inputs!$B$2+A6,LifeTables!A:A, LifeTables!B:B)/_xlfn.XLOOKUP(Inputs!$B$2,LifeTables!A:A, LifeTables!B:B))</f>
        <v>0.99439455002966393</v>
      </c>
      <c r="E6" s="8">
        <f>((_xlfn.XLOOKUP(Inputs!$B$2+A6,LifeTables!A:A, LifeTables!B:B)-_xlfn.XLOOKUP(Inputs!$B$2+A6+1,LifeTables!A:A, LifeTables!B:B))/_xlfn.XLOOKUP(Inputs!$B$2,LifeTables!A:A, LifeTables!B:B))</f>
        <v>1.6877723450829565E-3</v>
      </c>
      <c r="F6" s="8"/>
      <c r="G6" s="9">
        <f>Inputs!$B$4*((1+Inputs!$B$5)^A6)</f>
        <v>165571.93359374997</v>
      </c>
      <c r="H6" s="8">
        <f>Inputs!$B$7^($A6+1)</f>
        <v>0.82192710675935132</v>
      </c>
      <c r="J6" s="10">
        <f t="shared" si="0"/>
        <v>229.68566473658774</v>
      </c>
      <c r="V6" s="6">
        <f t="shared" si="1"/>
        <v>0.862608784384164</v>
      </c>
      <c r="W6" s="6">
        <f t="shared" si="2"/>
        <v>0.78352616646845885</v>
      </c>
      <c r="X6" s="6">
        <f>Inputs!$B$4*((1+$S$4)^$A6)</f>
        <v>159204.5325937499</v>
      </c>
      <c r="Y6" s="6">
        <f>Inputs!$B$4*((1+$S$5)^$A6)</f>
        <v>172128.45009374994</v>
      </c>
    </row>
    <row r="7" spans="1:25" x14ac:dyDescent="0.2">
      <c r="A7" s="6">
        <v>5</v>
      </c>
      <c r="B7" s="15">
        <f>1-(_xlfn.XLOOKUP(Inputs!$B$2+A7+1,LifeTables!A:A, LifeTables!B:B)/_xlfn.XLOOKUP(Inputs!$B$2+ A7,LifeTables!A:A, LifeTables!B:B))</f>
        <v>1.8341250296242118E-3</v>
      </c>
      <c r="C7" s="8">
        <f>(_xlfn.XLOOKUP(Inputs!$B$2+A7+1,LifeTables!A:A, LifeTables!B:B)/_xlfn.XLOOKUP(Inputs!$B$2+ A7,LifeTables!A:A, LifeTables!B:B))</f>
        <v>0.99816587497037579</v>
      </c>
      <c r="D7" s="8">
        <f>(_xlfn.XLOOKUP(Inputs!$B$2+A7,LifeTables!A:A, LifeTables!B:B)/_xlfn.XLOOKUP(Inputs!$B$2,LifeTables!A:A, LifeTables!B:B))</f>
        <v>0.99270677768458093</v>
      </c>
      <c r="E7" s="8">
        <f>((_xlfn.XLOOKUP(Inputs!$B$2+A7,LifeTables!A:A, LifeTables!B:B)-_xlfn.XLOOKUP(Inputs!$B$2+A7+1,LifeTables!A:A, LifeTables!B:B))/_xlfn.XLOOKUP(Inputs!$B$2,LifeTables!A:A, LifeTables!B:B))</f>
        <v>1.8207483480288864E-3</v>
      </c>
      <c r="F7" s="8"/>
      <c r="G7" s="9">
        <f>Inputs!$B$4*((1+Inputs!$B$5)^A7)</f>
        <v>169711.23193359369</v>
      </c>
      <c r="H7" s="8">
        <f>Inputs!$B$7^($A7+1)</f>
        <v>0.79031452573014538</v>
      </c>
      <c r="J7" s="10">
        <f t="shared" si="0"/>
        <v>244.20833060134274</v>
      </c>
      <c r="V7" s="6">
        <f t="shared" si="1"/>
        <v>0.83748425668365434</v>
      </c>
      <c r="W7" s="6">
        <f t="shared" si="2"/>
        <v>0.7462153966366275</v>
      </c>
      <c r="X7" s="6">
        <f>Inputs!$B$4*((1+$S$4)^$A7)</f>
        <v>161592.60058265613</v>
      </c>
      <c r="Y7" s="6">
        <f>Inputs!$B$4*((1+$S$5)^$A7)</f>
        <v>178152.94584703117</v>
      </c>
    </row>
    <row r="8" spans="1:25" x14ac:dyDescent="0.2">
      <c r="A8" s="6">
        <v>6</v>
      </c>
      <c r="B8" s="15">
        <f>1-(_xlfn.XLOOKUP(Inputs!$B$2+A8+1,LifeTables!A:A, LifeTables!B:B)/_xlfn.XLOOKUP(Inputs!$B$2+ A8,LifeTables!A:A, LifeTables!B:B))</f>
        <v>1.9820173220055359E-3</v>
      </c>
      <c r="C8" s="8">
        <f>(_xlfn.XLOOKUP(Inputs!$B$2+A8+1,LifeTables!A:A, LifeTables!B:B)/_xlfn.XLOOKUP(Inputs!$B$2+ A8,LifeTables!A:A, LifeTables!B:B))</f>
        <v>0.99801798267799446</v>
      </c>
      <c r="D8" s="8">
        <f>(_xlfn.XLOOKUP(Inputs!$B$2+A8,LifeTables!A:A, LifeTables!B:B)/_xlfn.XLOOKUP(Inputs!$B$2,LifeTables!A:A, LifeTables!B:B))</f>
        <v>0.99088602933655201</v>
      </c>
      <c r="E8" s="8">
        <f>((_xlfn.XLOOKUP(Inputs!$B$2+A8,LifeTables!A:A, LifeTables!B:B)-_xlfn.XLOOKUP(Inputs!$B$2+A8+1,LifeTables!A:A, LifeTables!B:B))/_xlfn.XLOOKUP(Inputs!$B$2,LifeTables!A:A, LifeTables!B:B))</f>
        <v>1.9639532742783497E-3</v>
      </c>
      <c r="F8" s="8"/>
      <c r="G8" s="9">
        <f>Inputs!$B$4*((1+Inputs!$B$5)^A8)</f>
        <v>173954.01273193353</v>
      </c>
      <c r="H8" s="8">
        <f>Inputs!$B$7^($A8+1)</f>
        <v>0.75991781320206286</v>
      </c>
      <c r="J8" s="10">
        <f t="shared" si="0"/>
        <v>259.61646209131516</v>
      </c>
      <c r="V8" s="6">
        <f t="shared" si="1"/>
        <v>0.81309151134335378</v>
      </c>
      <c r="W8" s="6">
        <f t="shared" si="2"/>
        <v>0.71068133013012136</v>
      </c>
      <c r="X8" s="6">
        <f>Inputs!$B$4*((1+$S$4)^$A8)</f>
        <v>164016.48959139595</v>
      </c>
      <c r="Y8" s="6">
        <f>Inputs!$B$4*((1+$S$5)^$A8)</f>
        <v>184388.29895167728</v>
      </c>
    </row>
    <row r="9" spans="1:25" x14ac:dyDescent="0.2">
      <c r="A9" s="6">
        <v>7</v>
      </c>
      <c r="B9" s="15">
        <f>1-(_xlfn.XLOOKUP(Inputs!$B$2+A9+1,LifeTables!A:A, LifeTables!B:B)/_xlfn.XLOOKUP(Inputs!$B$2+ A9,LifeTables!A:A, LifeTables!B:B))</f>
        <v>2.1617931505291121E-3</v>
      </c>
      <c r="C9" s="8">
        <f>(_xlfn.XLOOKUP(Inputs!$B$2+A9+1,LifeTables!A:A, LifeTables!B:B)/_xlfn.XLOOKUP(Inputs!$B$2+ A9,LifeTables!A:A, LifeTables!B:B))</f>
        <v>0.99783820684947089</v>
      </c>
      <c r="D9" s="8">
        <f>(_xlfn.XLOOKUP(Inputs!$B$2+A9,LifeTables!A:A, LifeTables!B:B)/_xlfn.XLOOKUP(Inputs!$B$2,LifeTables!A:A, LifeTables!B:B))</f>
        <v>0.98892207606227367</v>
      </c>
      <c r="E9" s="8">
        <f>((_xlfn.XLOOKUP(Inputs!$B$2+A9,LifeTables!A:A, LifeTables!B:B)-_xlfn.XLOOKUP(Inputs!$B$2+A9+1,LifeTables!A:A, LifeTables!B:B))/_xlfn.XLOOKUP(Inputs!$B$2,LifeTables!A:A, LifeTables!B:B))</f>
        <v>2.1378449704384118E-3</v>
      </c>
      <c r="F9" s="8"/>
      <c r="G9" s="9">
        <f>Inputs!$B$4*((1+Inputs!$B$5)^A9)</f>
        <v>178302.86305023188</v>
      </c>
      <c r="H9" s="8">
        <f>Inputs!$B$7^($A9+1)</f>
        <v>0.73069020500198345</v>
      </c>
      <c r="J9" s="10">
        <f t="shared" si="0"/>
        <v>278.52732668024828</v>
      </c>
      <c r="V9" s="6">
        <f t="shared" si="1"/>
        <v>0.78940923431393561</v>
      </c>
      <c r="W9" s="6">
        <f t="shared" si="2"/>
        <v>0.676839362028687</v>
      </c>
      <c r="X9" s="6">
        <f>Inputs!$B$4*((1+$S$4)^$A9)</f>
        <v>166476.73693526688</v>
      </c>
      <c r="Y9" s="6">
        <f>Inputs!$B$4*((1+$S$5)^$A9)</f>
        <v>190841.88941498596</v>
      </c>
    </row>
    <row r="10" spans="1:25" x14ac:dyDescent="0.2">
      <c r="A10" s="6">
        <v>8</v>
      </c>
      <c r="B10" s="15">
        <f>1-(_xlfn.XLOOKUP(Inputs!$B$2+A10+1,LifeTables!A:A, LifeTables!B:B)/_xlfn.XLOOKUP(Inputs!$B$2+ A10,LifeTables!A:A, LifeTables!B:B))</f>
        <v>2.332331294703005E-3</v>
      </c>
      <c r="C10" s="8">
        <f>(_xlfn.XLOOKUP(Inputs!$B$2+A10+1,LifeTables!A:A, LifeTables!B:B)/_xlfn.XLOOKUP(Inputs!$B$2+ A10,LifeTables!A:A, LifeTables!B:B))</f>
        <v>0.99766766870529699</v>
      </c>
      <c r="D10" s="8">
        <f>(_xlfn.XLOOKUP(Inputs!$B$2+A10,LifeTables!A:A, LifeTables!B:B)/_xlfn.XLOOKUP(Inputs!$B$2,LifeTables!A:A, LifeTables!B:B))</f>
        <v>0.98678423109183533</v>
      </c>
      <c r="E10" s="8">
        <f>((_xlfn.XLOOKUP(Inputs!$B$2+A10,LifeTables!A:A, LifeTables!B:B)-_xlfn.XLOOKUP(Inputs!$B$2+A10+1,LifeTables!A:A, LifeTables!B:B))/_xlfn.XLOOKUP(Inputs!$B$2,LifeTables!A:A, LifeTables!B:B))</f>
        <v>2.3015077432949407E-3</v>
      </c>
      <c r="F10" s="8"/>
      <c r="G10" s="9">
        <f>Inputs!$B$4*((1+Inputs!$B$5)^A10)</f>
        <v>182760.43462648767</v>
      </c>
      <c r="H10" s="8">
        <f>Inputs!$B$7^($A10+1)</f>
        <v>0.70258673557883022</v>
      </c>
      <c r="J10" s="10">
        <f t="shared" si="0"/>
        <v>295.52523332550726</v>
      </c>
      <c r="R10" s="27"/>
      <c r="S10" s="26"/>
      <c r="T10" s="26"/>
      <c r="V10" s="6">
        <f t="shared" si="1"/>
        <v>0.76641673234362684</v>
      </c>
      <c r="W10" s="6">
        <f t="shared" si="2"/>
        <v>0.64460891621779715</v>
      </c>
      <c r="X10" s="6">
        <f>Inputs!$B$4*((1+$S$4)^$A10)</f>
        <v>168973.88798929585</v>
      </c>
      <c r="Y10" s="6">
        <f>Inputs!$B$4*((1+$S$5)^$A10)</f>
        <v>197521.35554451044</v>
      </c>
    </row>
    <row r="11" spans="1:25" x14ac:dyDescent="0.2">
      <c r="A11" s="6">
        <v>9</v>
      </c>
      <c r="B11" s="15">
        <f>1-(_xlfn.XLOOKUP(Inputs!$B$2+A11+1,LifeTables!A:A, LifeTables!B:B)/_xlfn.XLOOKUP(Inputs!$B$2+ A11,LifeTables!A:A, LifeTables!B:B))</f>
        <v>2.5455867837290702E-3</v>
      </c>
      <c r="C11" s="8">
        <f>(_xlfn.XLOOKUP(Inputs!$B$2+A11+1,LifeTables!A:A, LifeTables!B:B)/_xlfn.XLOOKUP(Inputs!$B$2+ A11,LifeTables!A:A, LifeTables!B:B))</f>
        <v>0.99745441321627093</v>
      </c>
      <c r="D11" s="8">
        <f>(_xlfn.XLOOKUP(Inputs!$B$2+A11,LifeTables!A:A, LifeTables!B:B)/_xlfn.XLOOKUP(Inputs!$B$2,LifeTables!A:A, LifeTables!B:B))</f>
        <v>0.98448272334854037</v>
      </c>
      <c r="E11" s="8">
        <f>((_xlfn.XLOOKUP(Inputs!$B$2+A11,LifeTables!A:A, LifeTables!B:B)-_xlfn.XLOOKUP(Inputs!$B$2+A11+1,LifeTables!A:A, LifeTables!B:B))/_xlfn.XLOOKUP(Inputs!$B$2,LifeTables!A:A, LifeTables!B:B))</f>
        <v>2.5060862093656024E-3</v>
      </c>
      <c r="F11" s="8"/>
      <c r="G11" s="9">
        <f>Inputs!$B$4*((1+Inputs!$B$5)^A11)</f>
        <v>187329.44549214983</v>
      </c>
      <c r="H11" s="8">
        <f>Inputs!$B$7^($A11+1)</f>
        <v>0.67556416882579817</v>
      </c>
      <c r="J11" s="10">
        <f t="shared" si="0"/>
        <v>317.15288127721362</v>
      </c>
      <c r="M11" s="25"/>
      <c r="N11" s="26"/>
      <c r="O11" s="26"/>
      <c r="P11" s="26"/>
      <c r="R11" s="26"/>
      <c r="S11" s="26"/>
      <c r="T11" s="26"/>
      <c r="V11" s="6">
        <f t="shared" si="1"/>
        <v>0.74409391489672505</v>
      </c>
      <c r="W11" s="6">
        <f t="shared" si="2"/>
        <v>0.6139132535407591</v>
      </c>
      <c r="X11" s="6">
        <f>Inputs!$B$4*((1+$S$4)^$A11)</f>
        <v>171508.49630913528</v>
      </c>
      <c r="Y11" s="6">
        <f>Inputs!$B$4*((1+$S$5)^$A11)</f>
        <v>204434.60298856828</v>
      </c>
    </row>
    <row r="12" spans="1:25" x14ac:dyDescent="0.2">
      <c r="A12" s="6">
        <v>10</v>
      </c>
      <c r="B12" s="15">
        <f>1-(_xlfn.XLOOKUP(Inputs!$B$2+A12+1,LifeTables!A:A, LifeTables!B:B)/_xlfn.XLOOKUP(Inputs!$B$2+ A12,LifeTables!A:A, LifeTables!B:B))</f>
        <v>2.7500000000000302E-3</v>
      </c>
      <c r="C12" s="8">
        <f>(_xlfn.XLOOKUP(Inputs!$B$2+A12+1,LifeTables!A:A, LifeTables!B:B)/_xlfn.XLOOKUP(Inputs!$B$2+ A12,LifeTables!A:A, LifeTables!B:B))</f>
        <v>0.99724999999999997</v>
      </c>
      <c r="D12" s="8">
        <f>(_xlfn.XLOOKUP(Inputs!$B$2+A12,LifeTables!A:A, LifeTables!B:B)/_xlfn.XLOOKUP(Inputs!$B$2,LifeTables!A:A, LifeTables!B:B))</f>
        <v>0.98197663713917471</v>
      </c>
      <c r="E12" s="8">
        <f>((_xlfn.XLOOKUP(Inputs!$B$2+A12,LifeTables!A:A, LifeTables!B:B)-_xlfn.XLOOKUP(Inputs!$B$2+A12+1,LifeTables!A:A, LifeTables!B:B))/_xlfn.XLOOKUP(Inputs!$B$2,LifeTables!A:A, LifeTables!B:B))</f>
        <v>2.7004357521327304E-3</v>
      </c>
      <c r="F12" s="8"/>
      <c r="G12" s="9">
        <f>Inputs!$B$4*((1+Inputs!$B$5)^A12)</f>
        <v>192012.68162945355</v>
      </c>
      <c r="H12" s="8">
        <f>Inputs!$B$7^($A12+1)</f>
        <v>0.64958093156326746</v>
      </c>
      <c r="J12" s="10">
        <f t="shared" si="0"/>
        <v>336.81934722768443</v>
      </c>
      <c r="M12" s="26"/>
      <c r="N12" s="26"/>
      <c r="O12" s="26"/>
      <c r="P12" s="26"/>
      <c r="R12" s="26"/>
      <c r="S12" s="26"/>
      <c r="T12" s="26"/>
      <c r="V12" s="6">
        <f t="shared" si="1"/>
        <v>0.72242127659876221</v>
      </c>
      <c r="W12" s="6">
        <f t="shared" si="2"/>
        <v>0.58467928908643729</v>
      </c>
      <c r="X12" s="6">
        <f>Inputs!$B$4*((1+$S$4)^$A12)</f>
        <v>174081.12375377229</v>
      </c>
      <c r="Y12" s="6">
        <f>Inputs!$B$4*((1+$S$5)^$A12)</f>
        <v>211589.81409316816</v>
      </c>
    </row>
    <row r="13" spans="1:25" x14ac:dyDescent="0.2">
      <c r="A13" s="6">
        <v>11</v>
      </c>
      <c r="B13" s="15">
        <f>1-(_xlfn.XLOOKUP(Inputs!$B$2+A13+1,LifeTables!A:A, LifeTables!B:B)/_xlfn.XLOOKUP(Inputs!$B$2+ A13,LifeTables!A:A, LifeTables!B:B))</f>
        <v>2.9978273585693493E-3</v>
      </c>
      <c r="C13" s="8">
        <f>(_xlfn.XLOOKUP(Inputs!$B$2+A13+1,LifeTables!A:A, LifeTables!B:B)/_xlfn.XLOOKUP(Inputs!$B$2+ A13,LifeTables!A:A, LifeTables!B:B))</f>
        <v>0.99700217264143065</v>
      </c>
      <c r="D13" s="8">
        <f>(_xlfn.XLOOKUP(Inputs!$B$2+A13,LifeTables!A:A, LifeTables!B:B)/_xlfn.XLOOKUP(Inputs!$B$2,LifeTables!A:A, LifeTables!B:B))</f>
        <v>0.97927620138704197</v>
      </c>
      <c r="E13" s="8">
        <f>((_xlfn.XLOOKUP(Inputs!$B$2+A13,LifeTables!A:A, LifeTables!B:B)-_xlfn.XLOOKUP(Inputs!$B$2+A13+1,LifeTables!A:A, LifeTables!B:B))/_xlfn.XLOOKUP(Inputs!$B$2,LifeTables!A:A, LifeTables!B:B))</f>
        <v>2.9357009881139911E-3</v>
      </c>
      <c r="F13" s="8"/>
      <c r="G13" s="9">
        <f>Inputs!$B$4*((1+Inputs!$B$5)^A13)</f>
        <v>196812.9986701899</v>
      </c>
      <c r="H13" s="8">
        <f>Inputs!$B$7^($A13+1)</f>
        <v>0.62459704958006479</v>
      </c>
      <c r="J13" s="10">
        <f t="shared" si="0"/>
        <v>360.88225331695827</v>
      </c>
      <c r="M13" s="26"/>
      <c r="N13" s="26"/>
      <c r="O13" s="26"/>
      <c r="P13" s="26"/>
      <c r="R13" s="26"/>
      <c r="S13" s="26"/>
      <c r="T13" s="26"/>
      <c r="V13" s="6">
        <f t="shared" si="1"/>
        <v>0.70137988019297304</v>
      </c>
      <c r="W13" s="6">
        <f t="shared" si="2"/>
        <v>0.55683741817755927</v>
      </c>
      <c r="X13" s="6">
        <f>Inputs!$B$4*((1+$S$4)^$A13)</f>
        <v>176692.34061007886</v>
      </c>
      <c r="Y13" s="6">
        <f>Inputs!$B$4*((1+$S$5)^$A13)</f>
        <v>218995.45758642905</v>
      </c>
    </row>
    <row r="14" spans="1:25" x14ac:dyDescent="0.2">
      <c r="A14" s="6">
        <v>12</v>
      </c>
      <c r="B14" s="15">
        <f>1-(_xlfn.XLOOKUP(Inputs!$B$2+A14+1,LifeTables!A:A, LifeTables!B:B)/_xlfn.XLOOKUP(Inputs!$B$2+ A14,LifeTables!A:A, LifeTables!B:B))</f>
        <v>3.2373309306540365E-3</v>
      </c>
      <c r="C14" s="8">
        <f>(_xlfn.XLOOKUP(Inputs!$B$2+A14+1,LifeTables!A:A, LifeTables!B:B)/_xlfn.XLOOKUP(Inputs!$B$2+ A14,LifeTables!A:A, LifeTables!B:B))</f>
        <v>0.99676266906934596</v>
      </c>
      <c r="D14" s="8">
        <f>(_xlfn.XLOOKUP(Inputs!$B$2+A14,LifeTables!A:A, LifeTables!B:B)/_xlfn.XLOOKUP(Inputs!$B$2,LifeTables!A:A, LifeTables!B:B))</f>
        <v>0.97634050039892806</v>
      </c>
      <c r="E14" s="8">
        <f>((_xlfn.XLOOKUP(Inputs!$B$2+A14,LifeTables!A:A, LifeTables!B:B)-_xlfn.XLOOKUP(Inputs!$B$2+A14+1,LifeTables!A:A, LifeTables!B:B))/_xlfn.XLOOKUP(Inputs!$B$2,LifeTables!A:A, LifeTables!B:B))</f>
        <v>3.1607373007917186E-3</v>
      </c>
      <c r="F14" s="8"/>
      <c r="G14" s="9">
        <f>Inputs!$B$4*((1+Inputs!$B$5)^A14)</f>
        <v>201733.32363694464</v>
      </c>
      <c r="H14" s="8">
        <f>Inputs!$B$7^($A14+1)</f>
        <v>0.60057408613467755</v>
      </c>
      <c r="J14" s="10">
        <f t="shared" si="0"/>
        <v>382.94167676833814</v>
      </c>
      <c r="M14" s="26"/>
      <c r="N14" s="26"/>
      <c r="O14" s="26"/>
      <c r="P14" s="26"/>
      <c r="R14" s="26"/>
      <c r="S14" s="26"/>
      <c r="T14" s="26"/>
      <c r="V14" s="6">
        <f t="shared" si="1"/>
        <v>0.6809513399931777</v>
      </c>
      <c r="W14" s="6">
        <f t="shared" si="2"/>
        <v>0.53032135064529451</v>
      </c>
      <c r="X14" s="6">
        <f>Inputs!$B$4*((1+$S$4)^$A14)</f>
        <v>179342.72571922999</v>
      </c>
      <c r="Y14" s="6">
        <f>Inputs!$B$4*((1+$S$5)^$A14)</f>
        <v>226660.29860195404</v>
      </c>
    </row>
    <row r="15" spans="1:25" x14ac:dyDescent="0.2">
      <c r="A15" s="6">
        <v>13</v>
      </c>
      <c r="B15" s="15">
        <f>1-(_xlfn.XLOOKUP(Inputs!$B$2+A15+1,LifeTables!A:A, LifeTables!B:B)/_xlfn.XLOOKUP(Inputs!$B$2+ A15,LifeTables!A:A, LifeTables!B:B))</f>
        <v>3.5211267605633756E-3</v>
      </c>
      <c r="C15" s="8">
        <f>(_xlfn.XLOOKUP(Inputs!$B$2+A15+1,LifeTables!A:A, LifeTables!B:B)/_xlfn.XLOOKUP(Inputs!$B$2+ A15,LifeTables!A:A, LifeTables!B:B))</f>
        <v>0.99647887323943662</v>
      </c>
      <c r="D15" s="8">
        <f>(_xlfn.XLOOKUP(Inputs!$B$2+A15,LifeTables!A:A, LifeTables!B:B)/_xlfn.XLOOKUP(Inputs!$B$2,LifeTables!A:A, LifeTables!B:B))</f>
        <v>0.97317976309813625</v>
      </c>
      <c r="E15" s="8">
        <f>((_xlfn.XLOOKUP(Inputs!$B$2+A15,LifeTables!A:A, LifeTables!B:B)-_xlfn.XLOOKUP(Inputs!$B$2+A15+1,LifeTables!A:A, LifeTables!B:B))/_xlfn.XLOOKUP(Inputs!$B$2,LifeTables!A:A, LifeTables!B:B))</f>
        <v>3.4266893066835784E-3</v>
      </c>
      <c r="F15" s="8"/>
      <c r="G15" s="9">
        <f>Inputs!$B$4*((1+Inputs!$B$5)^A15)</f>
        <v>206776.65672786825</v>
      </c>
      <c r="H15" s="8">
        <f>Inputs!$B$7^($A15+1)</f>
        <v>0.57747508282180526</v>
      </c>
      <c r="J15" s="10">
        <f t="shared" si="0"/>
        <v>409.1753742230772</v>
      </c>
      <c r="M15" s="26"/>
      <c r="N15" s="26"/>
      <c r="O15" s="26"/>
      <c r="P15" s="26"/>
      <c r="R15" s="26"/>
      <c r="S15" s="26"/>
      <c r="T15" s="26"/>
      <c r="V15" s="6">
        <f t="shared" si="1"/>
        <v>0.66111780581861912</v>
      </c>
      <c r="W15" s="6">
        <f t="shared" si="2"/>
        <v>0.50506795299551854</v>
      </c>
      <c r="X15" s="6">
        <f>Inputs!$B$4*((1+$S$4)^$A15)</f>
        <v>182032.86660501844</v>
      </c>
      <c r="Y15" s="6">
        <f>Inputs!$B$4*((1+$S$5)^$A15)</f>
        <v>234593.40905302239</v>
      </c>
    </row>
    <row r="16" spans="1:25" x14ac:dyDescent="0.2">
      <c r="A16" s="6">
        <v>14</v>
      </c>
      <c r="B16" s="15">
        <f>1-(_xlfn.XLOOKUP(Inputs!$B$2+A16+1,LifeTables!A:A, LifeTables!B:B)/_xlfn.XLOOKUP(Inputs!$B$2+ A16,LifeTables!A:A, LifeTables!B:B))</f>
        <v>3.8289119772163538E-3</v>
      </c>
      <c r="C16" s="8">
        <f>(_xlfn.XLOOKUP(Inputs!$B$2+A16+1,LifeTables!A:A, LifeTables!B:B)/_xlfn.XLOOKUP(Inputs!$B$2+ A16,LifeTables!A:A, LifeTables!B:B))</f>
        <v>0.99617108802278365</v>
      </c>
      <c r="D16" s="8">
        <f>(_xlfn.XLOOKUP(Inputs!$B$2+A16,LifeTables!A:A, LifeTables!B:B)/_xlfn.XLOOKUP(Inputs!$B$2,LifeTables!A:A, LifeTables!B:B))</f>
        <v>0.9697530737914527</v>
      </c>
      <c r="E16" s="8">
        <f>((_xlfn.XLOOKUP(Inputs!$B$2+A16,LifeTables!A:A, LifeTables!B:B)-_xlfn.XLOOKUP(Inputs!$B$2+A16+1,LifeTables!A:A, LifeTables!B:B))/_xlfn.XLOOKUP(Inputs!$B$2,LifeTables!A:A, LifeTables!B:B))</f>
        <v>3.7130991591825045E-3</v>
      </c>
      <c r="F16" s="8"/>
      <c r="G16" s="9">
        <f>Inputs!$B$4*((1+Inputs!$B$5)^A16)</f>
        <v>211946.07314606491</v>
      </c>
      <c r="H16" s="8">
        <f>Inputs!$B$7^($A16+1)</f>
        <v>0.55526450271327432</v>
      </c>
      <c r="J16" s="10">
        <f t="shared" si="0"/>
        <v>436.98027372000985</v>
      </c>
      <c r="M16" s="26"/>
      <c r="N16" s="26"/>
      <c r="O16" s="26"/>
      <c r="P16" s="26"/>
      <c r="R16" s="26"/>
      <c r="S16" s="26"/>
      <c r="T16" s="26"/>
      <c r="V16" s="6">
        <f t="shared" si="1"/>
        <v>0.64186194739671765</v>
      </c>
      <c r="W16" s="6">
        <f t="shared" si="2"/>
        <v>0.48101709809097004</v>
      </c>
      <c r="X16" s="6">
        <f>Inputs!$B$4*((1+$S$4)^$A16)</f>
        <v>184763.35960409365</v>
      </c>
      <c r="Y16" s="6">
        <f>Inputs!$B$4*((1+$S$5)^$A16)</f>
        <v>242804.17836987821</v>
      </c>
    </row>
    <row r="17" spans="1:25" x14ac:dyDescent="0.2">
      <c r="A17" s="6">
        <v>15</v>
      </c>
      <c r="B17" s="15">
        <f>1-(_xlfn.XLOOKUP(Inputs!$B$2+A17+1,LifeTables!A:A, LifeTables!B:B)/_xlfn.XLOOKUP(Inputs!$B$2+ A17,LifeTables!A:A, LifeTables!B:B))</f>
        <v>4.1401071557146674E-3</v>
      </c>
      <c r="C17" s="8">
        <f>(_xlfn.XLOOKUP(Inputs!$B$2+A17+1,LifeTables!A:A, LifeTables!B:B)/_xlfn.XLOOKUP(Inputs!$B$2+ A17,LifeTables!A:A, LifeTables!B:B))</f>
        <v>0.99585989284428533</v>
      </c>
      <c r="D17" s="8">
        <f>(_xlfn.XLOOKUP(Inputs!$B$2+A17,LifeTables!A:A, LifeTables!B:B)/_xlfn.XLOOKUP(Inputs!$B$2,LifeTables!A:A, LifeTables!B:B))</f>
        <v>0.9660399746322702</v>
      </c>
      <c r="E17" s="8">
        <f>((_xlfn.XLOOKUP(Inputs!$B$2+A17,LifeTables!A:A, LifeTables!B:B)-_xlfn.XLOOKUP(Inputs!$B$2+A17+1,LifeTables!A:A, LifeTables!B:B))/_xlfn.XLOOKUP(Inputs!$B$2,LifeTables!A:A, LifeTables!B:B))</f>
        <v>3.9995090116814302E-3</v>
      </c>
      <c r="F17" s="8"/>
      <c r="G17" s="9">
        <f>Inputs!$B$4*((1+Inputs!$B$5)^A17)</f>
        <v>217244.72497471658</v>
      </c>
      <c r="H17" s="8">
        <f>Inputs!$B$7^($A17+1)</f>
        <v>0.53390817568584059</v>
      </c>
      <c r="J17" s="10">
        <f t="shared" si="0"/>
        <v>463.89799004062553</v>
      </c>
      <c r="M17" s="26"/>
      <c r="N17" s="26"/>
      <c r="O17" s="26"/>
      <c r="P17" s="26"/>
      <c r="R17" s="26"/>
      <c r="S17" s="26"/>
      <c r="T17" s="26"/>
      <c r="V17" s="6">
        <f t="shared" si="1"/>
        <v>0.62316693922011412</v>
      </c>
      <c r="W17" s="6">
        <f t="shared" si="2"/>
        <v>0.45811152199140004</v>
      </c>
      <c r="X17" s="6">
        <f>Inputs!$B$4*((1+$S$4)^$A17)</f>
        <v>187534.80999815505</v>
      </c>
      <c r="Y17" s="6">
        <f>Inputs!$B$4*((1+$S$5)^$A17)</f>
        <v>251302.3246128239</v>
      </c>
    </row>
    <row r="18" spans="1:25" x14ac:dyDescent="0.2">
      <c r="A18" s="6">
        <v>16</v>
      </c>
      <c r="B18" s="15">
        <f>1-(_xlfn.XLOOKUP(Inputs!$B$2+A18+1,LifeTables!A:A, LifeTables!B:B)/_xlfn.XLOOKUP(Inputs!$B$2+ A18,LifeTables!A:A, LifeTables!B:B))</f>
        <v>4.508192363717578E-3</v>
      </c>
      <c r="C18" s="8">
        <f>(_xlfn.XLOOKUP(Inputs!$B$2+A18+1,LifeTables!A:A, LifeTables!B:B)/_xlfn.XLOOKUP(Inputs!$B$2+ A18,LifeTables!A:A, LifeTables!B:B))</f>
        <v>0.99549180763628242</v>
      </c>
      <c r="D18" s="8">
        <f>(_xlfn.XLOOKUP(Inputs!$B$2+A18,LifeTables!A:A, LifeTables!B:B)/_xlfn.XLOOKUP(Inputs!$B$2,LifeTables!A:A, LifeTables!B:B))</f>
        <v>0.96204046562058876</v>
      </c>
      <c r="E18" s="8">
        <f>((_xlfn.XLOOKUP(Inputs!$B$2+A18,LifeTables!A:A, LifeTables!B:B)-_xlfn.XLOOKUP(Inputs!$B$2+A18+1,LifeTables!A:A, LifeTables!B:B))/_xlfn.XLOOKUP(Inputs!$B$2,LifeTables!A:A, LifeTables!B:B))</f>
        <v>4.3370634806980217E-3</v>
      </c>
      <c r="F18" s="8"/>
      <c r="G18" s="9">
        <f>Inputs!$B$4*((1+Inputs!$B$5)^A18)</f>
        <v>222675.84309908448</v>
      </c>
      <c r="H18" s="8">
        <f>Inputs!$B$7^($A18+1)</f>
        <v>0.5133732458517698</v>
      </c>
      <c r="J18" s="10">
        <f t="shared" si="0"/>
        <v>495.79496968241159</v>
      </c>
      <c r="M18" s="26"/>
      <c r="N18" s="26"/>
      <c r="O18" s="26"/>
      <c r="P18" s="26"/>
      <c r="R18" s="26"/>
      <c r="S18" s="26"/>
      <c r="T18" s="26"/>
      <c r="V18" s="6">
        <f t="shared" si="1"/>
        <v>0.60501644584477099</v>
      </c>
      <c r="W18" s="6">
        <f t="shared" si="2"/>
        <v>0.43629668761085716</v>
      </c>
      <c r="X18" s="6">
        <f>Inputs!$B$4*((1+$S$4)^$A18)</f>
        <v>190347.83214812735</v>
      </c>
      <c r="Y18" s="6">
        <f>Inputs!$B$4*((1+$S$5)^$A18)</f>
        <v>260097.90597427267</v>
      </c>
    </row>
    <row r="19" spans="1:25" x14ac:dyDescent="0.2">
      <c r="A19" s="6">
        <v>17</v>
      </c>
      <c r="B19" s="15">
        <f>1-(_xlfn.XLOOKUP(Inputs!$B$2+A19+1,LifeTables!A:A, LifeTables!B:B)/_xlfn.XLOOKUP(Inputs!$B$2+ A19,LifeTables!A:A, LifeTables!B:B))</f>
        <v>4.8917513110534605E-3</v>
      </c>
      <c r="C19" s="8">
        <f>(_xlfn.XLOOKUP(Inputs!$B$2+A19+1,LifeTables!A:A, LifeTables!B:B)/_xlfn.XLOOKUP(Inputs!$B$2+ A19,LifeTables!A:A, LifeTables!B:B))</f>
        <v>0.99510824868894654</v>
      </c>
      <c r="D19" s="8">
        <f>(_xlfn.XLOOKUP(Inputs!$B$2+A19,LifeTables!A:A, LifeTables!B:B)/_xlfn.XLOOKUP(Inputs!$B$2,LifeTables!A:A, LifeTables!B:B))</f>
        <v>0.9577034021398908</v>
      </c>
      <c r="E19" s="8">
        <f>((_xlfn.XLOOKUP(Inputs!$B$2+A19,LifeTables!A:A, LifeTables!B:B)-_xlfn.XLOOKUP(Inputs!$B$2+A19+1,LifeTables!A:A, LifeTables!B:B))/_xlfn.XLOOKUP(Inputs!$B$2,LifeTables!A:A, LifeTables!B:B))</f>
        <v>4.6848468730181459E-3</v>
      </c>
      <c r="F19" s="8"/>
      <c r="G19" s="9">
        <f>Inputs!$B$4*((1+Inputs!$B$5)^A19)</f>
        <v>228242.73917656156</v>
      </c>
      <c r="H19" s="8">
        <f>Inputs!$B$7^($A19+1)</f>
        <v>0.49362812101131698</v>
      </c>
      <c r="J19" s="10">
        <f t="shared" si="0"/>
        <v>527.82780414869387</v>
      </c>
      <c r="R19" s="26"/>
      <c r="S19" s="26"/>
      <c r="T19" s="26"/>
      <c r="V19" s="6">
        <f t="shared" si="1"/>
        <v>0.58739460761628248</v>
      </c>
      <c r="W19" s="6">
        <f t="shared" si="2"/>
        <v>0.41552065486748302</v>
      </c>
      <c r="X19" s="6">
        <f>Inputs!$B$4*((1+$S$4)^$A19)</f>
        <v>193203.04963034921</v>
      </c>
      <c r="Y19" s="6">
        <f>Inputs!$B$4*((1+$S$5)^$A19)</f>
        <v>269201.33268337219</v>
      </c>
    </row>
    <row r="20" spans="1:25" x14ac:dyDescent="0.2">
      <c r="A20" s="6">
        <v>18</v>
      </c>
      <c r="B20" s="15">
        <f>1-(_xlfn.XLOOKUP(Inputs!$B$2+A20+1,LifeTables!A:A, LifeTables!B:B)/_xlfn.XLOOKUP(Inputs!$B$2+ A20,LifeTables!A:A, LifeTables!B:B))</f>
        <v>5.3021927894471022E-3</v>
      </c>
      <c r="C20" s="8">
        <f>(_xlfn.XLOOKUP(Inputs!$B$2+A20+1,LifeTables!A:A, LifeTables!B:B)/_xlfn.XLOOKUP(Inputs!$B$2+ A20,LifeTables!A:A, LifeTables!B:B))</f>
        <v>0.9946978072105529</v>
      </c>
      <c r="D20" s="8">
        <f>(_xlfn.XLOOKUP(Inputs!$B$2+A20,LifeTables!A:A, LifeTables!B:B)/_xlfn.XLOOKUP(Inputs!$B$2,LifeTables!A:A, LifeTables!B:B))</f>
        <v>0.95301855526687262</v>
      </c>
      <c r="E20" s="8">
        <f>((_xlfn.XLOOKUP(Inputs!$B$2+A20,LifeTables!A:A, LifeTables!B:B)-_xlfn.XLOOKUP(Inputs!$B$2+A20+1,LifeTables!A:A, LifeTables!B:B))/_xlfn.XLOOKUP(Inputs!$B$2,LifeTables!A:A, LifeTables!B:B))</f>
        <v>5.0530881119453365E-3</v>
      </c>
      <c r="F20" s="8"/>
      <c r="G20" s="9">
        <f>Inputs!$B$4*((1+Inputs!$B$5)^A20)</f>
        <v>233948.8076559756</v>
      </c>
      <c r="H20" s="8">
        <f>Inputs!$B$7^($A20+1)</f>
        <v>0.47464242404934326</v>
      </c>
      <c r="J20" s="10">
        <f t="shared" si="0"/>
        <v>561.10515752160541</v>
      </c>
      <c r="R20" s="26"/>
      <c r="S20" s="26"/>
      <c r="T20" s="26"/>
      <c r="V20" s="6">
        <f t="shared" si="1"/>
        <v>0.57028602681192475</v>
      </c>
      <c r="W20" s="6">
        <f t="shared" si="2"/>
        <v>0.39573395701665048</v>
      </c>
      <c r="X20" s="6">
        <f>Inputs!$B$4*((1+$S$4)^$A20)</f>
        <v>196101.09537480446</v>
      </c>
      <c r="Y20" s="6">
        <f>Inputs!$B$4*((1+$S$5)^$A20)</f>
        <v>278623.37932729023</v>
      </c>
    </row>
    <row r="21" spans="1:25" x14ac:dyDescent="0.2">
      <c r="A21" s="6">
        <v>19</v>
      </c>
      <c r="B21" s="15">
        <f>1-(_xlfn.XLOOKUP(Inputs!$B$2+A21+1,LifeTables!A:A, LifeTables!B:B)/_xlfn.XLOOKUP(Inputs!$B$2+ A21,LifeTables!A:A, LifeTables!B:B))</f>
        <v>5.7728621526841328E-3</v>
      </c>
      <c r="C21" s="8">
        <f>(_xlfn.XLOOKUP(Inputs!$B$2+A21+1,LifeTables!A:A, LifeTables!B:B)/_xlfn.XLOOKUP(Inputs!$B$2+ A21,LifeTables!A:A, LifeTables!B:B))</f>
        <v>0.99422713784731587</v>
      </c>
      <c r="D21" s="8">
        <f>(_xlfn.XLOOKUP(Inputs!$B$2+A21,LifeTables!A:A, LifeTables!B:B)/_xlfn.XLOOKUP(Inputs!$B$2,LifeTables!A:A, LifeTables!B:B))</f>
        <v>0.94796546715492724</v>
      </c>
      <c r="E21" s="8">
        <f>((_xlfn.XLOOKUP(Inputs!$B$2+A21,LifeTables!A:A, LifeTables!B:B)-_xlfn.XLOOKUP(Inputs!$B$2+A21+1,LifeTables!A:A, LifeTables!B:B))/_xlfn.XLOOKUP(Inputs!$B$2,LifeTables!A:A, LifeTables!B:B))</f>
        <v>5.4724739673901925E-3</v>
      </c>
      <c r="F21" s="8"/>
      <c r="G21" s="9">
        <f>Inputs!$B$4*((1+Inputs!$B$5)^A21)</f>
        <v>239797.52784737499</v>
      </c>
      <c r="H21" s="8">
        <f>Inputs!$B$7^($A21+1)</f>
        <v>0.4563869462012915</v>
      </c>
      <c r="J21" s="10">
        <f t="shared" si="0"/>
        <v>598.91007621440042</v>
      </c>
      <c r="R21" s="26"/>
      <c r="S21" s="26"/>
      <c r="T21" s="26"/>
      <c r="V21" s="6">
        <f>((1+$S$2)^(-1))^($A21+1)</f>
        <v>0.55367575418633475</v>
      </c>
      <c r="W21" s="6">
        <f t="shared" si="2"/>
        <v>0.37688948287300045</v>
      </c>
      <c r="X21" s="6">
        <f>Inputs!$B$4*((1+$S$4)^$A21)</f>
        <v>199042.61180542648</v>
      </c>
      <c r="Y21" s="6">
        <f>Inputs!$B$4*((1+$S$5)^$A21)</f>
        <v>288375.19760374533</v>
      </c>
    </row>
    <row r="22" spans="1:25" x14ac:dyDescent="0.2">
      <c r="A22" s="6">
        <v>20</v>
      </c>
      <c r="B22" s="15">
        <f>1-(_xlfn.XLOOKUP(Inputs!$B$2+A22+1,LifeTables!A:A, LifeTables!B:B)/_xlfn.XLOOKUP(Inputs!$B$2+ A22,LifeTables!A:A, LifeTables!B:B))</f>
        <v>6.2622096809202832E-3</v>
      </c>
      <c r="C22" s="8">
        <f>(_xlfn.XLOOKUP(Inputs!$B$2+A22+1,LifeTables!A:A, LifeTables!B:B)/_xlfn.XLOOKUP(Inputs!$B$2+ A22,LifeTables!A:A, LifeTables!B:B))</f>
        <v>0.99373779031907972</v>
      </c>
      <c r="D22" s="8">
        <f>(_xlfn.XLOOKUP(Inputs!$B$2+A22,LifeTables!A:A, LifeTables!B:B)/_xlfn.XLOOKUP(Inputs!$B$2,LifeTables!A:A, LifeTables!B:B))</f>
        <v>0.9424929931875371</v>
      </c>
      <c r="E22" s="8">
        <f>((_xlfn.XLOOKUP(Inputs!$B$2+A22,LifeTables!A:A, LifeTables!B:B)-_xlfn.XLOOKUP(Inputs!$B$2+A22+1,LifeTables!A:A, LifeTables!B:B))/_xlfn.XLOOKUP(Inputs!$B$2,LifeTables!A:A, LifeTables!B:B))</f>
        <v>5.9020887461385813E-3</v>
      </c>
      <c r="F22" s="8"/>
      <c r="G22" s="9">
        <f>Inputs!$B$4*((1+Inputs!$B$5)^A22)</f>
        <v>245792.46604355934</v>
      </c>
      <c r="H22" s="8">
        <f>Inputs!$B$7^($A22+1)</f>
        <v>0.43883360211662642</v>
      </c>
      <c r="J22" s="10"/>
      <c r="R22" s="26"/>
      <c r="S22" s="26"/>
      <c r="T22" s="26"/>
      <c r="V22" s="6">
        <f>((1+$S$2)^(-1))^($A22+1)</f>
        <v>0.53754927590906287</v>
      </c>
      <c r="W22" s="6">
        <f t="shared" si="2"/>
        <v>0.35894236464095275</v>
      </c>
      <c r="X22" s="6">
        <f>Inputs!$B$4*((1+$S$4)^$A22)</f>
        <v>202028.25098250783</v>
      </c>
      <c r="Y22" s="6">
        <f>Inputs!$B$4*((1+$S$5)^$A22)</f>
        <v>298468.3295198764</v>
      </c>
    </row>
    <row r="23" spans="1:25" x14ac:dyDescent="0.2">
      <c r="B23" s="7"/>
      <c r="R23" s="26"/>
      <c r="S23" s="26"/>
      <c r="T23" s="26"/>
    </row>
    <row r="24" spans="1:25" x14ac:dyDescent="0.2">
      <c r="B24" s="7"/>
      <c r="R24" s="26"/>
      <c r="S24" s="26"/>
      <c r="T24" s="26"/>
    </row>
    <row r="25" spans="1:25" x14ac:dyDescent="0.2">
      <c r="B25" s="7"/>
      <c r="R25" s="26"/>
      <c r="S25" s="26"/>
      <c r="T25" s="26"/>
    </row>
    <row r="26" spans="1:25" x14ac:dyDescent="0.2">
      <c r="B26" s="7"/>
    </row>
    <row r="27" spans="1:25" x14ac:dyDescent="0.2">
      <c r="B27" s="7"/>
    </row>
    <row r="28" spans="1:25" x14ac:dyDescent="0.2">
      <c r="B28" s="7"/>
    </row>
    <row r="29" spans="1:25" x14ac:dyDescent="0.2">
      <c r="B29" s="7"/>
    </row>
    <row r="30" spans="1:25" x14ac:dyDescent="0.2">
      <c r="B30" s="7"/>
    </row>
    <row r="31" spans="1:25" x14ac:dyDescent="0.2">
      <c r="B31" s="7"/>
    </row>
  </sheetData>
  <phoneticPr fontId="9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topLeftCell="D2" zoomScale="184" zoomScaleNormal="137" workbookViewId="0">
      <selection activeCell="F2" sqref="F2"/>
    </sheetView>
  </sheetViews>
  <sheetFormatPr baseColWidth="10" defaultColWidth="8.83203125" defaultRowHeight="15" x14ac:dyDescent="0.2"/>
  <cols>
    <col min="2" max="2" width="10.6640625" bestFit="1" customWidth="1"/>
    <col min="3" max="3" width="10.83203125" customWidth="1"/>
    <col min="4" max="4" width="12.1640625" bestFit="1" customWidth="1"/>
    <col min="5" max="5" width="12.1640625" customWidth="1"/>
    <col min="6" max="6" width="16" customWidth="1"/>
    <col min="7" max="7" width="12.1640625" bestFit="1" customWidth="1"/>
    <col min="8" max="8" width="12.6640625" bestFit="1" customWidth="1"/>
  </cols>
  <sheetData>
    <row r="1" spans="1:27" x14ac:dyDescent="0.2">
      <c r="A1" t="s">
        <v>27</v>
      </c>
      <c r="B1" t="s">
        <v>29</v>
      </c>
      <c r="C1" t="s">
        <v>28</v>
      </c>
      <c r="D1" t="s">
        <v>40</v>
      </c>
      <c r="F1" t="s">
        <v>41</v>
      </c>
      <c r="G1" t="s">
        <v>30</v>
      </c>
      <c r="H1" t="s">
        <v>42</v>
      </c>
    </row>
    <row r="2" spans="1:27" ht="16" x14ac:dyDescent="0.2">
      <c r="A2">
        <v>0</v>
      </c>
      <c r="B2" s="17">
        <f>'Q2'!$C2</f>
        <v>0.99875207135696897</v>
      </c>
      <c r="C2">
        <f>'Q2'!$B2</f>
        <v>1.2479286430310266E-3</v>
      </c>
      <c r="D2" s="12">
        <f>'Q2'!$G2</f>
        <v>150000</v>
      </c>
      <c r="E2" s="12"/>
      <c r="F2" s="20">
        <f>(($B2*$F3+$C2*$D2)/(1+Inputs!$B$6))+Inputs!$B$8-'Q2'!$O$2</f>
        <v>2.0804691303055733E-11</v>
      </c>
      <c r="G2" s="8">
        <f>'Q2'!$D2</f>
        <v>1</v>
      </c>
      <c r="H2" s="12">
        <f>$F2*$G2</f>
        <v>2.0804691303055733E-11</v>
      </c>
    </row>
    <row r="3" spans="1:27" ht="16" x14ac:dyDescent="0.2">
      <c r="A3">
        <v>1</v>
      </c>
      <c r="B3" s="17">
        <f>'Q2'!$C3</f>
        <v>0.9986480950430151</v>
      </c>
      <c r="C3">
        <f>'Q2'!$B3</f>
        <v>1.3519049569848951E-3</v>
      </c>
      <c r="D3" s="12">
        <f>'Q2'!$G3</f>
        <v>153750</v>
      </c>
      <c r="E3" s="12"/>
      <c r="F3" s="12">
        <f>(($B3*$F4+$C3*$D3)/(1+Inputs!$B$6))+Inputs!$B$9-'Q2'!$O$2</f>
        <v>481.22455491345772</v>
      </c>
      <c r="G3" s="8">
        <f>'Q2'!$D3</f>
        <v>0.99875207135696897</v>
      </c>
      <c r="H3" s="12">
        <f t="shared" ref="H3:H22" si="0">$F3*$G3</f>
        <v>480.62402100765138</v>
      </c>
    </row>
    <row r="4" spans="1:27" ht="16" x14ac:dyDescent="0.2">
      <c r="A4">
        <v>2</v>
      </c>
      <c r="B4" s="17">
        <f>'Q2'!$C4</f>
        <v>0.99855396480288794</v>
      </c>
      <c r="C4">
        <f>'Q2'!$B4</f>
        <v>1.4460351971120611E-3</v>
      </c>
      <c r="D4" s="12">
        <f>'Q2'!$G4</f>
        <v>157593.75</v>
      </c>
      <c r="E4" s="12"/>
      <c r="F4" s="12">
        <f>(($B4*$F5+$C4*$D4)/(1+Inputs!$B$6))+Inputs!$B$9-'Q2'!$O$2</f>
        <v>805.52045453128562</v>
      </c>
      <c r="G4" s="8">
        <f>'Q2'!$D4</f>
        <v>0.9974018534809026</v>
      </c>
      <c r="H4" s="12">
        <f t="shared" si="0"/>
        <v>803.42759436628342</v>
      </c>
    </row>
    <row r="5" spans="1:27" ht="16" x14ac:dyDescent="0.2">
      <c r="A5">
        <v>3</v>
      </c>
      <c r="B5" s="17">
        <f>'Q2'!$C5</f>
        <v>0.99842862571507796</v>
      </c>
      <c r="C5">
        <f>'Q2'!$B5</f>
        <v>1.5713742849220447E-3</v>
      </c>
      <c r="D5" s="12">
        <f>'Q2'!$G5</f>
        <v>161533.59374999997</v>
      </c>
      <c r="E5" s="12"/>
      <c r="F5" s="12">
        <f>(($B5*$F6+$C5*$D5)/(1+Inputs!$B$6))+Inputs!$B$9-'Q2'!$O$2</f>
        <v>1123.2928017579466</v>
      </c>
      <c r="G5" s="8">
        <f>'Q2'!$D5</f>
        <v>0.99595957529510448</v>
      </c>
      <c r="H5" s="12">
        <f t="shared" si="0"/>
        <v>1118.7542217708924</v>
      </c>
    </row>
    <row r="6" spans="1:27" ht="16" x14ac:dyDescent="0.2">
      <c r="A6">
        <v>4</v>
      </c>
      <c r="B6" s="17">
        <f>'Q2'!$C6</f>
        <v>0.99830271360092171</v>
      </c>
      <c r="C6">
        <f>'Q2'!$B6</f>
        <v>1.6972863990782905E-3</v>
      </c>
      <c r="D6" s="12">
        <f>'Q2'!$G6</f>
        <v>165571.93359374997</v>
      </c>
      <c r="E6" s="12"/>
      <c r="F6" s="12">
        <f>(($B6*$F7+$C6*$D6)/(1+Inputs!$B$6))+Inputs!$B$9-'Q2'!$O$2</f>
        <v>1428.4527298076002</v>
      </c>
      <c r="G6" s="8">
        <f>'Q2'!$D6</f>
        <v>0.99439455002966393</v>
      </c>
      <c r="H6" s="12">
        <f t="shared" si="0"/>
        <v>1420.4456094956738</v>
      </c>
    </row>
    <row r="7" spans="1:27" ht="16" x14ac:dyDescent="0.2">
      <c r="A7">
        <v>5</v>
      </c>
      <c r="B7" s="17">
        <f>'Q2'!$C7</f>
        <v>0.99816587497037579</v>
      </c>
      <c r="C7">
        <f>'Q2'!$B7</f>
        <v>1.8341250296242118E-3</v>
      </c>
      <c r="D7" s="12">
        <f>'Q2'!$G7</f>
        <v>169711.23193359369</v>
      </c>
      <c r="E7" s="12"/>
      <c r="F7" s="12">
        <f>(($B7*$F8+$C7*$D7)/(1+Inputs!$B$6))+Inputs!$B$9-'Q2'!$O$2</f>
        <v>1719.2993088372566</v>
      </c>
      <c r="G7" s="8">
        <f>'Q2'!$D7</f>
        <v>0.99270677768458093</v>
      </c>
      <c r="H7" s="12">
        <f t="shared" si="0"/>
        <v>1706.7600767511601</v>
      </c>
    </row>
    <row r="8" spans="1:27" ht="16" x14ac:dyDescent="0.2">
      <c r="A8">
        <v>6</v>
      </c>
      <c r="B8" s="17">
        <f>'Q2'!$C8</f>
        <v>0.99801798267799446</v>
      </c>
      <c r="C8">
        <f>'Q2'!$B8</f>
        <v>1.9820173220055359E-3</v>
      </c>
      <c r="D8" s="12">
        <f>'Q2'!$G8</f>
        <v>173954.01273193353</v>
      </c>
      <c r="E8" s="12"/>
      <c r="F8" s="12">
        <f>(($B8*$F9+$C8*$D8)/(1+Inputs!$B$6))+Inputs!$B$9-'Q2'!$O$2</f>
        <v>1992.2670472122543</v>
      </c>
      <c r="G8" s="8">
        <f>'Q2'!$D8</f>
        <v>0.99088602933655201</v>
      </c>
      <c r="H8" s="12">
        <f t="shared" si="0"/>
        <v>1974.1095837902076</v>
      </c>
    </row>
    <row r="9" spans="1:27" ht="16" x14ac:dyDescent="0.2">
      <c r="A9">
        <v>7</v>
      </c>
      <c r="B9" s="17">
        <f>'Q2'!$C9</f>
        <v>0.99783820684947089</v>
      </c>
      <c r="C9">
        <f>'Q2'!$B9</f>
        <v>2.1617931505291121E-3</v>
      </c>
      <c r="D9" s="12">
        <f>'Q2'!$G9</f>
        <v>178302.86305023188</v>
      </c>
      <c r="E9" s="12"/>
      <c r="F9" s="12">
        <f>(($B9*$F10+$C9*$D9)/(1+Inputs!$B$6))+Inputs!$B$9-'Q2'!$O$2</f>
        <v>2243.437712502986</v>
      </c>
      <c r="G9" s="8">
        <f>'Q2'!$D9</f>
        <v>0.98892207606227367</v>
      </c>
      <c r="H9" s="12">
        <f t="shared" si="0"/>
        <v>2218.5850801648512</v>
      </c>
    </row>
    <row r="10" spans="1:27" ht="16" x14ac:dyDescent="0.2">
      <c r="A10">
        <v>8</v>
      </c>
      <c r="B10" s="17">
        <f>'Q2'!$C10</f>
        <v>0.99766766870529699</v>
      </c>
      <c r="C10">
        <f>'Q2'!$B10</f>
        <v>2.332331294703005E-3</v>
      </c>
      <c r="D10" s="12">
        <f>'Q2'!$G10</f>
        <v>182760.43462648767</v>
      </c>
      <c r="E10" s="12"/>
      <c r="F10" s="12">
        <f>(($B10*$F11+$C10*$D10)/(1+Inputs!$B$6))+Inputs!$B$9-'Q2'!$O$2</f>
        <v>2464.8631546884644</v>
      </c>
      <c r="G10" s="8">
        <f>'Q2'!$D10</f>
        <v>0.98678423109183533</v>
      </c>
      <c r="H10" s="12">
        <f t="shared" si="0"/>
        <v>2432.2880928458521</v>
      </c>
    </row>
    <row r="11" spans="1:27" ht="16" x14ac:dyDescent="0.2">
      <c r="A11">
        <v>9</v>
      </c>
      <c r="B11" s="17">
        <f>'Q2'!$C11</f>
        <v>0.99745441321627093</v>
      </c>
      <c r="C11">
        <f>'Q2'!$B11</f>
        <v>2.5455867837290702E-3</v>
      </c>
      <c r="D11" s="12">
        <f>'Q2'!$G11</f>
        <v>187329.44549214983</v>
      </c>
      <c r="E11" s="12"/>
      <c r="F11" s="12">
        <f>(($B11*$F12+$C11*$D11)/(1+Inputs!$B$6))+Inputs!$B$9-'Q2'!$O$2</f>
        <v>2655.2059371264477</v>
      </c>
      <c r="G11" s="8">
        <f>'Q2'!$D11</f>
        <v>0.98448272334854037</v>
      </c>
      <c r="H11" s="12">
        <f t="shared" si="0"/>
        <v>2614.0043720334584</v>
      </c>
    </row>
    <row r="12" spans="1:27" ht="16" x14ac:dyDescent="0.2">
      <c r="A12">
        <v>10</v>
      </c>
      <c r="B12" s="17">
        <f>'Q2'!$C12</f>
        <v>0.99724999999999997</v>
      </c>
      <c r="C12">
        <f>'Q2'!$B12</f>
        <v>2.7500000000000302E-3</v>
      </c>
      <c r="D12" s="12">
        <f>'Q2'!$G12</f>
        <v>192012.68162945355</v>
      </c>
      <c r="E12" s="12"/>
      <c r="F12" s="12">
        <f>(($B12*$F13+$C12*$D12)/(1+Inputs!$B$6))+Inputs!$B$9-'Q2'!$O$2</f>
        <v>2803.5006857194203</v>
      </c>
      <c r="G12" s="8">
        <f>'Q2'!$D12</f>
        <v>0.98197663713917471</v>
      </c>
      <c r="H12" s="12">
        <f t="shared" si="0"/>
        <v>2752.9721755801265</v>
      </c>
      <c r="R12" s="28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16" x14ac:dyDescent="0.2">
      <c r="A13">
        <v>11</v>
      </c>
      <c r="B13" s="17">
        <f>'Q2'!$C13</f>
        <v>0.99700217264143065</v>
      </c>
      <c r="C13">
        <f>'Q2'!$B13</f>
        <v>2.9978273585693493E-3</v>
      </c>
      <c r="D13" s="12">
        <f>'Q2'!$G13</f>
        <v>196812.9986701899</v>
      </c>
      <c r="E13" s="12"/>
      <c r="F13" s="12">
        <f>(($B13*$F14+$C13*$D13)/(1+Inputs!$B$6))+Inputs!$B$9-'Q2'!$O$2</f>
        <v>2907.4145461313392</v>
      </c>
      <c r="G13" s="8">
        <f>'Q2'!$D13</f>
        <v>0.97927620138704197</v>
      </c>
      <c r="H13" s="12">
        <f t="shared" si="0"/>
        <v>2847.1618725929284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16" x14ac:dyDescent="0.2">
      <c r="A14">
        <v>12</v>
      </c>
      <c r="B14" s="17">
        <f>'Q2'!$C14</f>
        <v>0.99676266906934596</v>
      </c>
      <c r="C14">
        <f>'Q2'!$B14</f>
        <v>3.2373309306540365E-3</v>
      </c>
      <c r="D14" s="12">
        <f>'Q2'!$G14</f>
        <v>201733.32363694464</v>
      </c>
      <c r="E14" s="12"/>
      <c r="F14" s="12">
        <f>(($B14*$F15+$C14*$D14)/(1+Inputs!$B$6))+Inputs!$B$9-'Q2'!$O$2</f>
        <v>2954.3697439490479</v>
      </c>
      <c r="G14" s="8">
        <f>'Q2'!$D14</f>
        <v>0.97634050039892806</v>
      </c>
      <c r="H14" s="12">
        <f t="shared" si="0"/>
        <v>2884.4708341706664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16" x14ac:dyDescent="0.2">
      <c r="A15">
        <v>13</v>
      </c>
      <c r="B15" s="17">
        <f>'Q2'!$C15</f>
        <v>0.99647887323943662</v>
      </c>
      <c r="C15">
        <f>'Q2'!$B15</f>
        <v>3.5211267605633756E-3</v>
      </c>
      <c r="D15" s="12">
        <f>'Q2'!$G15</f>
        <v>206776.65672786825</v>
      </c>
      <c r="E15" s="12"/>
      <c r="F15" s="12">
        <f>(($B15*$F16+$C15*$D15)/(1+Inputs!$B$6))+Inputs!$B$9-'Q2'!$O$2</f>
        <v>2940.8006677784597</v>
      </c>
      <c r="G15" s="8">
        <f>'Q2'!$D15</f>
        <v>0.97317976309813625</v>
      </c>
      <c r="H15" s="12">
        <f t="shared" si="0"/>
        <v>2861.9276971874824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6" x14ac:dyDescent="0.2">
      <c r="A16">
        <v>14</v>
      </c>
      <c r="B16" s="17">
        <f>'Q2'!$C16</f>
        <v>0.99617108802278365</v>
      </c>
      <c r="C16">
        <f>'Q2'!$B16</f>
        <v>3.8289119772163538E-3</v>
      </c>
      <c r="D16" s="12">
        <f>'Q2'!$G16</f>
        <v>211946.07314606491</v>
      </c>
      <c r="E16" s="12"/>
      <c r="F16" s="12">
        <f>(($B16*$F17+$C16*$D16)/(1+Inputs!$B$6))+Inputs!$B$9-'Q2'!$O$2</f>
        <v>2852.2021578320364</v>
      </c>
      <c r="G16" s="8">
        <f>'Q2'!$D16</f>
        <v>0.9697530737914527</v>
      </c>
      <c r="H16" s="12">
        <f t="shared" si="0"/>
        <v>2765.9318096322313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16" x14ac:dyDescent="0.2">
      <c r="A17">
        <v>15</v>
      </c>
      <c r="B17" s="17">
        <f>'Q2'!$C17</f>
        <v>0.99585989284428533</v>
      </c>
      <c r="C17">
        <f>'Q2'!$B17</f>
        <v>4.1401071557146674E-3</v>
      </c>
      <c r="D17" s="12">
        <f>'Q2'!$G17</f>
        <v>217244.72497471658</v>
      </c>
      <c r="E17" s="12"/>
      <c r="F17" s="12">
        <f>(($B17*$F18+$C17*$D17)/(1+Inputs!$B$6))+Inputs!$B$9-'Q2'!$O$2</f>
        <v>2676.8300502550546</v>
      </c>
      <c r="G17" s="8">
        <f>'Q2'!$D17</f>
        <v>0.9660399746322702</v>
      </c>
      <c r="H17" s="12">
        <f t="shared" si="0"/>
        <v>2585.9248338432917</v>
      </c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16" x14ac:dyDescent="0.2">
      <c r="A18">
        <v>16</v>
      </c>
      <c r="B18" s="17">
        <f>'Q2'!$C18</f>
        <v>0.99549180763628242</v>
      </c>
      <c r="C18">
        <f>'Q2'!$B18</f>
        <v>4.508192363717578E-3</v>
      </c>
      <c r="D18" s="12">
        <f>'Q2'!$G18</f>
        <v>222675.84309908448</v>
      </c>
      <c r="E18" s="12"/>
      <c r="F18" s="12">
        <f>(($B18*$F19+$C18*$D18)/(1+Inputs!$B$6))+Inputs!$B$9-'Q2'!$O$2</f>
        <v>2406.2623131396076</v>
      </c>
      <c r="G18" s="8">
        <f>'Q2'!$D18</f>
        <v>0.96204046562058876</v>
      </c>
      <c r="H18" s="12">
        <f t="shared" si="0"/>
        <v>2314.921716138103</v>
      </c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16" x14ac:dyDescent="0.2">
      <c r="A19">
        <v>17</v>
      </c>
      <c r="B19" s="17">
        <f>'Q2'!$C19</f>
        <v>0.99510824868894654</v>
      </c>
      <c r="C19">
        <f>'Q2'!$B19</f>
        <v>4.8917513110534605E-3</v>
      </c>
      <c r="D19" s="12">
        <f>'Q2'!$G19</f>
        <v>228242.73917656156</v>
      </c>
      <c r="E19" s="12"/>
      <c r="F19" s="12">
        <f>(($B19*$F20+$C19*$D19)/(1+Inputs!$B$6))+Inputs!$B$9-'Q2'!$O$2</f>
        <v>2019.5651759882292</v>
      </c>
      <c r="G19" s="8">
        <f>'Q2'!$D19</f>
        <v>0.9577034021398908</v>
      </c>
      <c r="H19" s="12">
        <f t="shared" si="0"/>
        <v>1934.1444398871743</v>
      </c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6" x14ac:dyDescent="0.2">
      <c r="A20">
        <v>18</v>
      </c>
      <c r="B20" s="17">
        <f>'Q2'!$C20</f>
        <v>0.9946978072105529</v>
      </c>
      <c r="C20">
        <f>'Q2'!$B20</f>
        <v>5.3021927894471022E-3</v>
      </c>
      <c r="D20" s="12">
        <f>'Q2'!$G20</f>
        <v>233948.8076559756</v>
      </c>
      <c r="E20" s="12"/>
      <c r="F20" s="12">
        <f>(($B20*$F21+$C20*$D20)/(1+Inputs!$B$6))+Inputs!$B$9-'Q2'!$O$2</f>
        <v>1503.0067169628894</v>
      </c>
      <c r="G20" s="8">
        <f>'Q2'!$D20</f>
        <v>0.95301855526687262</v>
      </c>
      <c r="H20" s="12">
        <f t="shared" si="0"/>
        <v>1432.3932899563781</v>
      </c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6" x14ac:dyDescent="0.2">
      <c r="A21">
        <v>19</v>
      </c>
      <c r="B21" s="17">
        <f>'Q2'!$C21</f>
        <v>0.99422713784731587</v>
      </c>
      <c r="C21">
        <f>'Q2'!$B21</f>
        <v>5.7728621526841328E-3</v>
      </c>
      <c r="D21" s="12">
        <f>'Q2'!$G21</f>
        <v>239797.52784737499</v>
      </c>
      <c r="E21" s="12"/>
      <c r="F21" s="12">
        <f>(($B21*$F22+$C21*$D21)/((1+Inputs!$B$6)))+Inputs!$B$9-'Q2'!$O$2</f>
        <v>838.94688014908343</v>
      </c>
      <c r="G21" s="8">
        <f>'Q2'!$D21</f>
        <v>0.94796546715492724</v>
      </c>
      <c r="H21" s="12">
        <f t="shared" si="0"/>
        <v>795.29267115869459</v>
      </c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6" x14ac:dyDescent="0.2">
      <c r="A22">
        <v>20</v>
      </c>
      <c r="B22" s="17">
        <f>'Q2'!$C22</f>
        <v>0.99373779031907972</v>
      </c>
      <c r="C22">
        <f>'Q2'!$B22</f>
        <v>6.2622096809202832E-3</v>
      </c>
      <c r="D22" s="12">
        <f>'Q2'!$G22</f>
        <v>245792.46604355934</v>
      </c>
      <c r="E22" s="12"/>
      <c r="F22" s="12">
        <f>0</f>
        <v>0</v>
      </c>
      <c r="G22" s="8">
        <f>'Q2'!$D22</f>
        <v>0.9424929931875371</v>
      </c>
      <c r="H22" s="12">
        <f t="shared" si="0"/>
        <v>0</v>
      </c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x14ac:dyDescent="0.2"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"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"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"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x14ac:dyDescent="0.2"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x14ac:dyDescent="0.2"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x14ac:dyDescent="0.2"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x14ac:dyDescent="0.2"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x14ac:dyDescent="0.2"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topLeftCell="B1" zoomScale="228" workbookViewId="0">
      <selection activeCell="I12" sqref="I12"/>
    </sheetView>
  </sheetViews>
  <sheetFormatPr baseColWidth="10" defaultColWidth="8.83203125" defaultRowHeight="15" x14ac:dyDescent="0.2"/>
  <cols>
    <col min="2" max="3" width="12.6640625" bestFit="1" customWidth="1"/>
    <col min="4" max="5" width="12.1640625" bestFit="1" customWidth="1"/>
    <col min="10" max="10" width="14.83203125" customWidth="1"/>
    <col min="11" max="11" width="11.6640625" customWidth="1"/>
    <col min="12" max="12" width="14" customWidth="1"/>
    <col min="13" max="13" width="12.6640625" customWidth="1"/>
    <col min="14" max="14" width="11.5" customWidth="1"/>
    <col min="15" max="15" width="10.6640625" customWidth="1"/>
    <col min="16" max="16" width="10.1640625" customWidth="1"/>
  </cols>
  <sheetData>
    <row r="1" spans="1:9" x14ac:dyDescent="0.2">
      <c r="A1" t="s">
        <v>27</v>
      </c>
      <c r="B1" t="s">
        <v>43</v>
      </c>
      <c r="C1" t="s">
        <v>44</v>
      </c>
      <c r="D1" t="s">
        <v>45</v>
      </c>
      <c r="E1" t="s">
        <v>46</v>
      </c>
      <c r="F1" t="s">
        <v>55</v>
      </c>
      <c r="G1" t="s">
        <v>47</v>
      </c>
      <c r="H1" t="s">
        <v>48</v>
      </c>
      <c r="I1" t="s">
        <v>49</v>
      </c>
    </row>
    <row r="2" spans="1:9" x14ac:dyDescent="0.2">
      <c r="A2">
        <v>0</v>
      </c>
      <c r="B2">
        <f>($F$2-Inputs!$B$8)*(1+Inputs!$B$6)+Inputs!$B$6*'Q3'!$F2-'Q3'!$C2*'Q3'!$D2</f>
        <v>1004.4757264661013</v>
      </c>
      <c r="C2">
        <f>(('Q3'!$F2-Inputs!$B$8+'Q2'!$O$2)*(1+Inputs!$B$6)-Inputs!$B$4*((1+Inputs!$B$5)^'Q4'!$A2)*'Q3'!$C2)-'Q3'!$F2</f>
        <v>480.62402100763052</v>
      </c>
      <c r="D2">
        <f>B2-C2</f>
        <v>523.85170545847075</v>
      </c>
      <c r="E2">
        <f>'Q2'!$D2*'Q4'!$D2</f>
        <v>523.85170545847075</v>
      </c>
      <c r="F2">
        <f>'Q2'!$P$2</f>
        <v>1395.8317528084176</v>
      </c>
      <c r="G2">
        <f>SUMPRODUCT($E$2:$E$21,'Q2'!$H$2:$H$21)-'Q3'!$H$2</f>
        <v>6999.9999999999764</v>
      </c>
      <c r="H2">
        <f>$F$2*SUMPRODUCT('Q2'!H2:H21,'Q2'!D2:D21)</f>
        <v>18651.885959037929</v>
      </c>
      <c r="I2">
        <f>G2/H2</f>
        <v>0.37529716916417599</v>
      </c>
    </row>
    <row r="3" spans="1:9" x14ac:dyDescent="0.2">
      <c r="A3">
        <v>1</v>
      </c>
      <c r="B3">
        <f>($F$2-Inputs!$B$9)*(1+Inputs!$B$6)+Inputs!$B$6*'Q3'!$F3-'Q3'!$C3*'Q3'!$D3</f>
        <v>847.05861798086494</v>
      </c>
      <c r="C3">
        <f>(('Q3'!$F3-Inputs!$B$9+'Q2'!$O$2)*(1+Inputs!$B$6)-Inputs!$B$4*((1+Inputs!$B$5)^'Q4'!$A3)*'Q3'!$C3)-'Q3'!$F3</f>
        <v>323.2069125223943</v>
      </c>
      <c r="D3">
        <f>B3-C3</f>
        <v>523.85170545847063</v>
      </c>
      <c r="E3">
        <f>'Q2'!$D3*'Q4'!$D3</f>
        <v>523.19797591052838</v>
      </c>
      <c r="F3">
        <v>1500</v>
      </c>
      <c r="G3">
        <v>8447.63266331454</v>
      </c>
      <c r="H3">
        <v>20043.840442994235</v>
      </c>
      <c r="I3">
        <v>0.42145778835847653</v>
      </c>
    </row>
    <row r="4" spans="1:9" x14ac:dyDescent="0.2">
      <c r="A4">
        <v>2</v>
      </c>
      <c r="B4">
        <f>($F$2-Inputs!$B$9)*(1+Inputs!$B$6)+Inputs!$B$6*'Q3'!$F4-'Q3'!$C4*'Q3'!$D4</f>
        <v>839.99973175712694</v>
      </c>
      <c r="C4">
        <f>(('Q3'!$F4-Inputs!$B$9+'Q2'!$O$2)*(1+Inputs!$B$6)-Inputs!$B$4*((1+Inputs!$B$5)^'Q4'!$A4)*'Q3'!$C4)-'Q3'!$F4</f>
        <v>316.1480262986563</v>
      </c>
      <c r="D4">
        <f t="shared" ref="D4:D22" si="0">B4-C4</f>
        <v>523.85170545847063</v>
      </c>
      <c r="E4">
        <f>'Q2'!$D4*'Q4'!$D4</f>
        <v>522.49066197341051</v>
      </c>
      <c r="F4">
        <f t="shared" ref="F4:F13" si="1">F3+250</f>
        <v>1750</v>
      </c>
      <c r="G4">
        <v>11921.898340100201</v>
      </c>
      <c r="H4">
        <v>23384.480516826607</v>
      </c>
      <c r="I4">
        <v>0.50982096145012257</v>
      </c>
    </row>
    <row r="5" spans="1:9" x14ac:dyDescent="0.2">
      <c r="A5">
        <v>3</v>
      </c>
      <c r="B5">
        <f>($F$2-Inputs!$B$9)*(1+Inputs!$B$6)+Inputs!$B$6*'Q3'!$F5-'Q3'!$C5*'Q3'!$D5</f>
        <v>826.76699962127805</v>
      </c>
      <c r="C5">
        <f>(('Q3'!$F5-Inputs!$B$9+'Q2'!$O$2)*(1+Inputs!$B$6)-Inputs!$B$4*((1+Inputs!$B$5)^'Q4'!$A5)*'Q3'!$C5)-'Q3'!$F5</f>
        <v>302.91529416280741</v>
      </c>
      <c r="D5">
        <f t="shared" si="0"/>
        <v>523.85170545847063</v>
      </c>
      <c r="E5">
        <f>'Q2'!$D5*'Q4'!$D5</f>
        <v>521.73512208603461</v>
      </c>
      <c r="F5">
        <f t="shared" si="1"/>
        <v>2000</v>
      </c>
      <c r="G5">
        <v>15396.164016885872</v>
      </c>
      <c r="H5">
        <v>26725.120590658978</v>
      </c>
      <c r="I5">
        <v>0.57609334126885747</v>
      </c>
    </row>
    <row r="6" spans="1:9" x14ac:dyDescent="0.2">
      <c r="A6">
        <v>4</v>
      </c>
      <c r="B6">
        <f>($F$2-Inputs!$B$9)*(1+Inputs!$B$6)+Inputs!$B$6*'Q3'!$F6-'Q3'!$C6*'Q3'!$D6</f>
        <v>811.78014115529265</v>
      </c>
      <c r="C6">
        <f>(('Q3'!$F6-Inputs!$B$9+'Q2'!$O$2)*(1+Inputs!$B$6)-Inputs!$B$4*((1+Inputs!$B$5)^'Q4'!$A6)*'Q3'!$C6)-'Q3'!$F6</f>
        <v>287.92843569682213</v>
      </c>
      <c r="D6">
        <f t="shared" si="0"/>
        <v>523.85170545847052</v>
      </c>
      <c r="E6">
        <f>'Q2'!$D6*'Q4'!$D6</f>
        <v>520.91528093164789</v>
      </c>
      <c r="F6">
        <f t="shared" si="1"/>
        <v>2250</v>
      </c>
      <c r="G6">
        <v>18870.429693671536</v>
      </c>
      <c r="H6">
        <v>30065.76066449135</v>
      </c>
      <c r="I6">
        <v>0.6276385255723177</v>
      </c>
    </row>
    <row r="7" spans="1:9" x14ac:dyDescent="0.2">
      <c r="A7">
        <v>5</v>
      </c>
      <c r="B7">
        <f>($F$2-Inputs!$B$9)*(1+Inputs!$B$6)+Inputs!$B$6*'Q3'!$F7-'Q3'!$C7*'Q3'!$D7</f>
        <v>793.16537697648073</v>
      </c>
      <c r="C7">
        <f>(('Q3'!$F7-Inputs!$B$9+'Q2'!$O$2)*(1+Inputs!$B$6)-Inputs!$B$4*((1+Inputs!$B$5)^'Q4'!$A7)*'Q3'!$C7)-'Q3'!$F7</f>
        <v>269.31367151800987</v>
      </c>
      <c r="D7">
        <f t="shared" si="0"/>
        <v>523.85170545847086</v>
      </c>
      <c r="E7">
        <f>'Q2'!$D7*'Q4'!$D7</f>
        <v>520.0311385102508</v>
      </c>
      <c r="F7">
        <f t="shared" si="1"/>
        <v>2500</v>
      </c>
      <c r="G7">
        <v>22344.695370457208</v>
      </c>
      <c r="H7">
        <v>33406.400738323726</v>
      </c>
      <c r="I7">
        <v>0.66887467301508596</v>
      </c>
    </row>
    <row r="8" spans="1:9" x14ac:dyDescent="0.2">
      <c r="A8">
        <v>6</v>
      </c>
      <c r="B8">
        <f>($F$2-Inputs!$B$9)*(1+Inputs!$B$6)+Inputs!$B$6*'Q3'!$F8-'Q3'!$C8*'Q3'!$D8</f>
        <v>770.57583834218076</v>
      </c>
      <c r="C8">
        <f>(('Q3'!$F8-Inputs!$B$9+'Q2'!$O$2)*(1+Inputs!$B$6)-Inputs!$B$4*((1+Inputs!$B$5)^'Q4'!$A8)*'Q3'!$C8)-'Q3'!$F8</f>
        <v>246.72413288371013</v>
      </c>
      <c r="D8">
        <f t="shared" si="0"/>
        <v>523.85170545847063</v>
      </c>
      <c r="E8">
        <f>'Q2'!$D8*'Q4'!$D8</f>
        <v>519.07733638292495</v>
      </c>
      <c r="F8">
        <f t="shared" si="1"/>
        <v>2750</v>
      </c>
      <c r="G8">
        <v>25818.961047242865</v>
      </c>
      <c r="H8">
        <v>36747.040812156098</v>
      </c>
      <c r="I8">
        <v>0.70261333910462331</v>
      </c>
    </row>
    <row r="9" spans="1:9" x14ac:dyDescent="0.2">
      <c r="A9">
        <v>7</v>
      </c>
      <c r="B9">
        <f>($F$2-Inputs!$B$9)*(1+Inputs!$B$6)+Inputs!$B$6*'Q3'!$F9-'Q3'!$C9*'Q3'!$D9</f>
        <v>739.94862335915218</v>
      </c>
      <c r="C9">
        <f>(('Q3'!$F9-Inputs!$B$9+'Q2'!$O$2)*(1+Inputs!$B$6)-Inputs!$B$4*((1+Inputs!$B$5)^'Q4'!$A9)*'Q3'!$C9)-'Q3'!$F9</f>
        <v>216.096917900682</v>
      </c>
      <c r="D9">
        <f t="shared" si="0"/>
        <v>523.85170545847018</v>
      </c>
      <c r="E9">
        <f>'Q2'!$D9*'Q4'!$D9</f>
        <v>518.04851611075298</v>
      </c>
      <c r="F9">
        <f t="shared" si="1"/>
        <v>3000</v>
      </c>
      <c r="G9">
        <v>29293.226724028536</v>
      </c>
      <c r="H9">
        <v>40087.68088598847</v>
      </c>
      <c r="I9">
        <v>0.73072889417923814</v>
      </c>
    </row>
    <row r="10" spans="1:9" x14ac:dyDescent="0.2">
      <c r="A10">
        <v>8</v>
      </c>
      <c r="B10">
        <f>($F$2-Inputs!$B$9)*(1+Inputs!$B$6)+Inputs!$B$6*'Q3'!$F10-'Q3'!$C10*'Q3'!$D10</f>
        <v>708.00166799541307</v>
      </c>
      <c r="C10">
        <f>(('Q3'!$F10-Inputs!$B$9+'Q2'!$O$2)*(1+Inputs!$B$6)-Inputs!$B$4*((1+Inputs!$B$5)^'Q4'!$A10)*'Q3'!$C10)-'Q3'!$F10</f>
        <v>184.14996253694244</v>
      </c>
      <c r="D10">
        <f t="shared" si="0"/>
        <v>523.85170545847063</v>
      </c>
      <c r="E10">
        <f>'Q2'!$D10*'Q4'!$D10</f>
        <v>516.92860237698358</v>
      </c>
      <c r="F10">
        <f t="shared" si="1"/>
        <v>3250</v>
      </c>
      <c r="G10">
        <v>32767.492400814215</v>
      </c>
      <c r="H10">
        <v>43428.320959820841</v>
      </c>
      <c r="I10">
        <v>0.75451897924237399</v>
      </c>
    </row>
    <row r="11" spans="1:9" x14ac:dyDescent="0.2">
      <c r="A11">
        <v>9</v>
      </c>
      <c r="B11">
        <f>($F$2-Inputs!$B$9)*(1+Inputs!$B$6)+Inputs!$B$6*'Q3'!$F11-'Q3'!$C11*'Q3'!$D11</f>
        <v>665.0098997577004</v>
      </c>
      <c r="C11">
        <f>(('Q3'!$F11-Inputs!$B$9+'Q2'!$O$2)*(1+Inputs!$B$6)-Inputs!$B$4*((1+Inputs!$B$5)^'Q4'!$A11)*'Q3'!$C11)-'Q3'!$F11</f>
        <v>141.15819429923022</v>
      </c>
      <c r="D11">
        <f t="shared" si="0"/>
        <v>523.85170545847018</v>
      </c>
      <c r="E11">
        <f>'Q2'!$D11*'Q4'!$D11</f>
        <v>515.72295362053217</v>
      </c>
      <c r="F11">
        <f t="shared" si="1"/>
        <v>3500</v>
      </c>
      <c r="G11">
        <v>36241.758077599872</v>
      </c>
      <c r="H11">
        <v>46768.961033653213</v>
      </c>
      <c r="I11">
        <v>0.7749104807250613</v>
      </c>
    </row>
    <row r="12" spans="1:9" x14ac:dyDescent="0.2">
      <c r="A12">
        <v>10</v>
      </c>
      <c r="B12">
        <f>($F$2-Inputs!$B$9)*(1+Inputs!$B$6)+Inputs!$B$6*'Q3'!$F12-'Q3'!$C12*'Q3'!$D12</f>
        <v>619.77017586852821</v>
      </c>
      <c r="C12">
        <f>(('Q3'!$F12-Inputs!$B$9+'Q2'!$O$2)*(1+Inputs!$B$6)-Inputs!$B$4*((1+Inputs!$B$5)^'Q4'!$A12)*'Q3'!$C12)-'Q3'!$F12</f>
        <v>95.91847041005758</v>
      </c>
      <c r="D12">
        <f t="shared" si="0"/>
        <v>523.85170545847063</v>
      </c>
      <c r="E12">
        <f>'Q2'!$D12*'Q4'!$D12</f>
        <v>514.41013608573041</v>
      </c>
      <c r="F12">
        <f t="shared" si="1"/>
        <v>3750</v>
      </c>
      <c r="G12">
        <v>39716.023754385547</v>
      </c>
      <c r="H12">
        <v>50109.601107485585</v>
      </c>
      <c r="I12">
        <v>0.79258311534339076</v>
      </c>
    </row>
    <row r="13" spans="1:9" x14ac:dyDescent="0.2">
      <c r="A13">
        <v>11</v>
      </c>
      <c r="B13">
        <f>($F$2-Inputs!$B$9)*(1+Inputs!$B$6)+Inputs!$B$6*'Q3'!$F13-'Q3'!$C13*'Q3'!$D13</f>
        <v>561.95021283043968</v>
      </c>
      <c r="C13">
        <f>(('Q3'!$F13-Inputs!$B$9+'Q2'!$O$2)*(1+Inputs!$B$6)-Inputs!$B$4*((1+Inputs!$B$5)^'Q4'!$A13)*'Q3'!$C13)-'Q3'!$F13</f>
        <v>38.09850737196939</v>
      </c>
      <c r="D13">
        <f t="shared" si="0"/>
        <v>523.85170545847029</v>
      </c>
      <c r="E13">
        <f>'Q2'!$D13*'Q4'!$D13</f>
        <v>512.99550821149433</v>
      </c>
      <c r="F13">
        <f t="shared" si="1"/>
        <v>4000</v>
      </c>
      <c r="G13">
        <v>43190.289431171201</v>
      </c>
      <c r="H13">
        <v>53450.241181317957</v>
      </c>
      <c r="I13">
        <v>0.80804667063442859</v>
      </c>
    </row>
    <row r="14" spans="1:9" x14ac:dyDescent="0.2">
      <c r="A14">
        <v>12</v>
      </c>
      <c r="B14">
        <f>($F$2-Inputs!$B$9)*(1+Inputs!$B$6)+Inputs!$B$6*'Q3'!$F14-'Q3'!$C14*'Q3'!$D14</f>
        <v>500.76228432519429</v>
      </c>
      <c r="C14">
        <f>(('Q3'!$F14-Inputs!$B$9+'Q2'!$O$2)*(1+Inputs!$B$6)-Inputs!$B$4*((1+Inputs!$B$5)^'Q4'!$A14)*'Q3'!$C14)-'Q3'!$F14</f>
        <v>-23.089421133276119</v>
      </c>
      <c r="D14">
        <f t="shared" si="0"/>
        <v>523.85170545847041</v>
      </c>
      <c r="E14">
        <f>'Q2'!$D14*'Q4'!$D14</f>
        <v>511.45763624215488</v>
      </c>
    </row>
    <row r="15" spans="1:9" x14ac:dyDescent="0.2">
      <c r="A15">
        <v>13</v>
      </c>
      <c r="B15">
        <f>($F$2-Inputs!$B$9)*(1+Inputs!$B$6)+Inputs!$B$6*'Q3'!$F15-'Q3'!$C15*'Q3'!$D15</f>
        <v>425.21023016756897</v>
      </c>
      <c r="C15">
        <f>(('Q3'!$F15-Inputs!$B$9+'Q2'!$O$2)*(1+Inputs!$B$6)-Inputs!$B$4*((1+Inputs!$B$5)^'Q4'!$A15)*'Q3'!$C15)-'Q3'!$F15</f>
        <v>-98.641475290901781</v>
      </c>
      <c r="D15">
        <f t="shared" si="0"/>
        <v>523.85170545847075</v>
      </c>
      <c r="E15">
        <f>'Q2'!$D15*'Q4'!$D15</f>
        <v>509.80187861662921</v>
      </c>
    </row>
    <row r="16" spans="1:9" x14ac:dyDescent="0.2">
      <c r="A16">
        <v>14</v>
      </c>
      <c r="B16">
        <f>($F$2-Inputs!$B$9)*(1+Inputs!$B$6)+Inputs!$B$6*'Q3'!$F16-'Q3'!$C16*'Q3'!$D16</f>
        <v>338.23025124109461</v>
      </c>
      <c r="C16">
        <f>(('Q3'!$F16-Inputs!$B$9+'Q2'!$O$2)*(1+Inputs!$B$6)-Inputs!$B$4*((1+Inputs!$B$5)^'Q4'!$A16)*'Q3'!$C16)-'Q3'!$F16</f>
        <v>-185.62145421737569</v>
      </c>
      <c r="D16">
        <f t="shared" si="0"/>
        <v>523.85170545847029</v>
      </c>
      <c r="E16">
        <f>'Q2'!$D16*'Q4'!$D16</f>
        <v>508.00680157924631</v>
      </c>
    </row>
    <row r="17" spans="1:8" x14ac:dyDescent="0.2">
      <c r="A17">
        <v>15</v>
      </c>
      <c r="B17">
        <f>($F$2-Inputs!$B$9)*(1+Inputs!$B$6)+Inputs!$B$6*'Q3'!$F17-'Q3'!$C17*'Q3'!$D17</f>
        <v>243.3217845218677</v>
      </c>
      <c r="C17">
        <f>(('Q3'!$F17-Inputs!$B$9+'Q2'!$O$2)*(1+Inputs!$B$6)-Inputs!$B$4*((1+Inputs!$B$5)^'Q4'!$A17)*'Q3'!$C17)-'Q3'!$F17</f>
        <v>-280.52992093660259</v>
      </c>
      <c r="D17">
        <f t="shared" si="0"/>
        <v>523.85170545847029</v>
      </c>
      <c r="E17">
        <f>'Q2'!$D17*'Q4'!$D17</f>
        <v>506.06168825217213</v>
      </c>
    </row>
    <row r="18" spans="1:8" x14ac:dyDescent="0.2">
      <c r="A18">
        <v>16</v>
      </c>
      <c r="B18">
        <f>($F$2-Inputs!$B$9)*(1+Inputs!$B$6)+Inputs!$B$6*'Q3'!$F18-'Q3'!$C18*'Q3'!$D18</f>
        <v>128.04998000267256</v>
      </c>
      <c r="C18">
        <f>(('Q3'!$F18-Inputs!$B$9+'Q2'!$O$2)*(1+Inputs!$B$6)-Inputs!$B$4*((1+Inputs!$B$5)^'Q4'!$A18)*'Q3'!$C18)-'Q3'!$F18</f>
        <v>-395.80172545579785</v>
      </c>
      <c r="D18">
        <f t="shared" si="0"/>
        <v>523.85170545847041</v>
      </c>
      <c r="E18">
        <f>'Q2'!$D18*'Q4'!$D18</f>
        <v>503.96653863540638</v>
      </c>
    </row>
    <row r="19" spans="1:8" x14ac:dyDescent="0.2">
      <c r="A19">
        <v>17</v>
      </c>
      <c r="B19">
        <f>($F$2-Inputs!$B$9)*(1+Inputs!$B$6)+Inputs!$B$6*'Q3'!$F19-'Q3'!$C19*'Q3'!$D19</f>
        <v>-5.9088645094334424E-2</v>
      </c>
      <c r="C19">
        <f>(('Q3'!$F19-Inputs!$B$9+'Q2'!$O$2)*(1+Inputs!$B$6)-Inputs!$B$4*((1+Inputs!$B$5)^'Q4'!$A19)*'Q3'!$C19)-'Q3'!$F19</f>
        <v>-523.91079410356519</v>
      </c>
      <c r="D19">
        <f t="shared" si="0"/>
        <v>523.85170545847086</v>
      </c>
      <c r="E19">
        <f>'Q2'!$D19*'Q4'!$D19</f>
        <v>501.69456053436153</v>
      </c>
    </row>
    <row r="20" spans="1:8" x14ac:dyDescent="0.2">
      <c r="A20">
        <v>18</v>
      </c>
      <c r="B20">
        <f>($F$2-Inputs!$B$9)*(1+Inputs!$B$6)+Inputs!$B$6*'Q3'!$F20-'Q3'!$C20*'Q3'!$D20</f>
        <v>-144.65638945399087</v>
      </c>
      <c r="C20">
        <f>(('Q3'!$F20-Inputs!$B$9+'Q2'!$O$2)*(1+Inputs!$B$6)-Inputs!$B$4*((1+Inputs!$B$5)^'Q4'!$A20)*'Q3'!$C20)-'Q3'!$F20</f>
        <v>-668.50809491246173</v>
      </c>
      <c r="D20">
        <f t="shared" si="0"/>
        <v>523.85170545847086</v>
      </c>
      <c r="E20">
        <f>'Q2'!$D20*'Q4'!$D20</f>
        <v>499.24039551011919</v>
      </c>
    </row>
    <row r="21" spans="1:8" x14ac:dyDescent="0.2">
      <c r="A21">
        <v>19</v>
      </c>
      <c r="B21">
        <f>($F$2-Inputs!$B$9)*(1+Inputs!$B$6)+Inputs!$B$6*'Q3'!$F21-'Q3'!$C21*'Q3'!$D21</f>
        <v>-315.09517469061279</v>
      </c>
      <c r="C21">
        <f>(('Q3'!$F21-Inputs!$B$9+'Q2'!$O$2)*(1+Inputs!$B$6)-Inputs!$B$4*((1+Inputs!$B$5)^'Q4'!$A21)*'Q3'!$C21)-'Q3'!$F21</f>
        <v>-838.94688014908343</v>
      </c>
      <c r="D21">
        <f t="shared" si="0"/>
        <v>523.85170545847063</v>
      </c>
      <c r="E21">
        <f>'Q2'!$D21*'Q4'!$D21</f>
        <v>496.59332668484444</v>
      </c>
    </row>
    <row r="22" spans="1:8" s="21" customFormat="1" x14ac:dyDescent="0.2">
      <c r="A22" s="21">
        <v>20</v>
      </c>
    </row>
    <row r="26" spans="1:8" x14ac:dyDescent="0.2">
      <c r="D26" s="28"/>
      <c r="E26" s="29"/>
      <c r="F26" s="29"/>
      <c r="G26" s="29"/>
      <c r="H26" s="29"/>
    </row>
    <row r="27" spans="1:8" x14ac:dyDescent="0.2">
      <c r="D27" s="29"/>
      <c r="E27" s="29"/>
      <c r="F27" s="29"/>
      <c r="G27" s="29"/>
      <c r="H27" s="29"/>
    </row>
    <row r="28" spans="1:8" x14ac:dyDescent="0.2">
      <c r="D28" s="29"/>
      <c r="E28" s="29"/>
      <c r="F28" s="29"/>
      <c r="G28" s="29"/>
      <c r="H28" s="29"/>
    </row>
    <row r="29" spans="1:8" x14ac:dyDescent="0.2">
      <c r="D29" s="29"/>
      <c r="E29" s="29"/>
      <c r="F29" s="29"/>
      <c r="G29" s="29"/>
      <c r="H29" s="29"/>
    </row>
    <row r="30" spans="1:8" x14ac:dyDescent="0.2">
      <c r="D30" s="29"/>
      <c r="E30" s="29"/>
      <c r="F30" s="29"/>
      <c r="G30" s="29"/>
      <c r="H30" s="29"/>
    </row>
    <row r="33" spans="4:8" x14ac:dyDescent="0.2">
      <c r="D33" s="28"/>
      <c r="E33" s="29"/>
      <c r="F33" s="29"/>
      <c r="G33" s="29"/>
      <c r="H33" s="29"/>
    </row>
    <row r="34" spans="4:8" x14ac:dyDescent="0.2">
      <c r="D34" s="29"/>
      <c r="E34" s="29"/>
      <c r="F34" s="29"/>
      <c r="G34" s="29"/>
      <c r="H34" s="29"/>
    </row>
    <row r="35" spans="4:8" x14ac:dyDescent="0.2">
      <c r="D35" s="29"/>
      <c r="E35" s="29"/>
      <c r="F35" s="29"/>
      <c r="G35" s="29"/>
      <c r="H35" s="29"/>
    </row>
    <row r="36" spans="4:8" x14ac:dyDescent="0.2">
      <c r="D36" s="29"/>
      <c r="E36" s="29"/>
      <c r="F36" s="29"/>
      <c r="G36" s="29"/>
      <c r="H36" s="29"/>
    </row>
    <row r="37" spans="4:8" x14ac:dyDescent="0.2">
      <c r="D37" s="29"/>
      <c r="E37" s="29"/>
      <c r="F37" s="29"/>
      <c r="G37" s="29"/>
      <c r="H37" s="29"/>
    </row>
    <row r="38" spans="4:8" x14ac:dyDescent="0.2">
      <c r="D38" s="29"/>
      <c r="E38" s="29"/>
      <c r="F38" s="29"/>
      <c r="G38" s="29"/>
      <c r="H38" s="29"/>
    </row>
    <row r="39" spans="4:8" x14ac:dyDescent="0.2">
      <c r="D39" s="29"/>
      <c r="E39" s="29"/>
      <c r="F39" s="29"/>
      <c r="G39" s="29"/>
      <c r="H39" s="29"/>
    </row>
    <row r="40" spans="4:8" x14ac:dyDescent="0.2">
      <c r="D40" s="29"/>
      <c r="E40" s="29"/>
      <c r="F40" s="29"/>
      <c r="G40" s="29"/>
      <c r="H40" s="29"/>
    </row>
    <row r="41" spans="4:8" x14ac:dyDescent="0.2">
      <c r="D41" s="29"/>
      <c r="E41" s="29"/>
      <c r="F41" s="29"/>
      <c r="G41" s="29"/>
      <c r="H41" s="29"/>
    </row>
    <row r="42" spans="4:8" x14ac:dyDescent="0.2">
      <c r="D42" s="29"/>
      <c r="E42" s="29"/>
      <c r="F42" s="29"/>
      <c r="G42" s="29"/>
      <c r="H42" s="29"/>
    </row>
    <row r="43" spans="4:8" x14ac:dyDescent="0.2">
      <c r="D43" s="29"/>
      <c r="E43" s="29"/>
      <c r="F43" s="29"/>
      <c r="G43" s="29"/>
      <c r="H43" s="29"/>
    </row>
    <row r="44" spans="4:8" x14ac:dyDescent="0.2">
      <c r="D44" s="29"/>
      <c r="E44" s="29"/>
      <c r="F44" s="29"/>
      <c r="G44" s="29"/>
      <c r="H44" s="29"/>
    </row>
    <row r="45" spans="4:8" x14ac:dyDescent="0.2">
      <c r="D45" s="29"/>
      <c r="E45" s="29"/>
      <c r="F45" s="29"/>
      <c r="G45" s="29"/>
      <c r="H45" s="29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LifeTables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created xsi:type="dcterms:W3CDTF">2025-08-15T05:37:00Z</dcterms:created>
  <dcterms:modified xsi:type="dcterms:W3CDTF">2025-10-14T11:58:39Z</dcterms:modified>
</cp:coreProperties>
</file>